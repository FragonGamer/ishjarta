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YP\ishjarta\"/>
    </mc:Choice>
  </mc:AlternateContent>
  <xr:revisionPtr revIDLastSave="0" documentId="8_{9516B5A3-A490-49E4-9AFB-9F504AF5354C}" xr6:coauthVersionLast="47" xr6:coauthVersionMax="47" xr10:uidLastSave="{00000000-0000-0000-0000-000000000000}"/>
  <bookViews>
    <workbookView xWindow="-108" yWindow="-108" windowWidth="23256" windowHeight="12576" tabRatio="500" firstSheet="17" activeTab="17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  <sheet name="Sprint_16" sheetId="18" r:id="rId18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8" l="1"/>
  <c r="H161" i="18"/>
  <c r="E161" i="18"/>
  <c r="B161" i="18"/>
  <c r="K158" i="18"/>
  <c r="H158" i="18"/>
  <c r="E158" i="18"/>
  <c r="B158" i="18"/>
  <c r="K155" i="18"/>
  <c r="H155" i="18"/>
  <c r="E155" i="18"/>
  <c r="B155" i="18"/>
  <c r="K152" i="18"/>
  <c r="H152" i="18"/>
  <c r="E152" i="18"/>
  <c r="B152" i="18"/>
  <c r="K149" i="18"/>
  <c r="H149" i="18"/>
  <c r="E149" i="18"/>
  <c r="B149" i="18"/>
  <c r="K146" i="18"/>
  <c r="H146" i="18"/>
  <c r="E146" i="18"/>
  <c r="B146" i="18"/>
  <c r="K143" i="18"/>
  <c r="H143" i="18"/>
  <c r="E143" i="18"/>
  <c r="B143" i="18"/>
  <c r="K140" i="18"/>
  <c r="H140" i="18"/>
  <c r="E140" i="18"/>
  <c r="B140" i="18"/>
  <c r="K137" i="18"/>
  <c r="H137" i="18"/>
  <c r="E137" i="18"/>
  <c r="B137" i="18"/>
  <c r="K134" i="18"/>
  <c r="H134" i="18"/>
  <c r="E134" i="18"/>
  <c r="B134" i="18"/>
  <c r="K131" i="18"/>
  <c r="H131" i="18"/>
  <c r="E131" i="18"/>
  <c r="B131" i="18"/>
  <c r="K128" i="18"/>
  <c r="H128" i="18"/>
  <c r="E128" i="18"/>
  <c r="B128" i="18"/>
  <c r="K125" i="18"/>
  <c r="H125" i="18"/>
  <c r="E125" i="18"/>
  <c r="B125" i="18"/>
  <c r="K122" i="18"/>
  <c r="H122" i="18"/>
  <c r="E122" i="18"/>
  <c r="B122" i="18"/>
  <c r="K119" i="18"/>
  <c r="H119" i="18"/>
  <c r="E119" i="18"/>
  <c r="B119" i="18"/>
  <c r="K116" i="18"/>
  <c r="H116" i="18"/>
  <c r="E116" i="18"/>
  <c r="B116" i="18"/>
  <c r="K113" i="18"/>
  <c r="H113" i="18"/>
  <c r="E113" i="18"/>
  <c r="B113" i="18"/>
  <c r="K110" i="18"/>
  <c r="H110" i="18"/>
  <c r="E110" i="18"/>
  <c r="B110" i="18"/>
  <c r="K107" i="18"/>
  <c r="H107" i="18"/>
  <c r="E107" i="18"/>
  <c r="B107" i="18"/>
  <c r="K104" i="18"/>
  <c r="H104" i="18"/>
  <c r="E104" i="18"/>
  <c r="B104" i="18"/>
  <c r="K101" i="18"/>
  <c r="H101" i="18"/>
  <c r="E101" i="18"/>
  <c r="B101" i="18"/>
  <c r="K98" i="18"/>
  <c r="H98" i="18"/>
  <c r="E98" i="18"/>
  <c r="B98" i="18"/>
  <c r="K95" i="18"/>
  <c r="H95" i="18"/>
  <c r="E95" i="18"/>
  <c r="B95" i="18"/>
  <c r="K92" i="18"/>
  <c r="H92" i="18"/>
  <c r="E92" i="18"/>
  <c r="B92" i="18"/>
  <c r="K89" i="18"/>
  <c r="H89" i="18"/>
  <c r="E89" i="18"/>
  <c r="B89" i="18"/>
  <c r="K86" i="18"/>
  <c r="H86" i="18"/>
  <c r="E86" i="18"/>
  <c r="B86" i="18"/>
  <c r="K83" i="18"/>
  <c r="H83" i="18"/>
  <c r="E83" i="18"/>
  <c r="B83" i="18"/>
  <c r="K80" i="18"/>
  <c r="H80" i="18"/>
  <c r="E80" i="18"/>
  <c r="B80" i="18"/>
  <c r="K77" i="18"/>
  <c r="H77" i="18"/>
  <c r="E77" i="18"/>
  <c r="B77" i="18"/>
  <c r="K74" i="18"/>
  <c r="H74" i="18"/>
  <c r="E74" i="18"/>
  <c r="B74" i="18"/>
  <c r="K71" i="18"/>
  <c r="H71" i="18"/>
  <c r="E71" i="18"/>
  <c r="B71" i="18"/>
  <c r="K68" i="18"/>
  <c r="H68" i="18"/>
  <c r="E68" i="18"/>
  <c r="B68" i="18"/>
  <c r="K65" i="18"/>
  <c r="H65" i="18"/>
  <c r="E65" i="18"/>
  <c r="B65" i="18"/>
  <c r="K62" i="18"/>
  <c r="H62" i="18"/>
  <c r="E62" i="18"/>
  <c r="B62" i="18"/>
  <c r="K59" i="18"/>
  <c r="H59" i="18"/>
  <c r="E59" i="18"/>
  <c r="B59" i="18"/>
  <c r="K56" i="18"/>
  <c r="H56" i="18"/>
  <c r="E56" i="18"/>
  <c r="B56" i="18"/>
  <c r="K53" i="18"/>
  <c r="H53" i="18"/>
  <c r="E53" i="18"/>
  <c r="B53" i="18"/>
  <c r="K50" i="18"/>
  <c r="H50" i="18"/>
  <c r="E50" i="18"/>
  <c r="B50" i="18"/>
  <c r="K47" i="18"/>
  <c r="H47" i="18"/>
  <c r="E47" i="18"/>
  <c r="B47" i="18"/>
  <c r="K44" i="18"/>
  <c r="H44" i="18"/>
  <c r="E44" i="18"/>
  <c r="B44" i="18"/>
  <c r="K41" i="18"/>
  <c r="H41" i="18"/>
  <c r="E41" i="18"/>
  <c r="B41" i="18"/>
  <c r="K38" i="18"/>
  <c r="H38" i="18"/>
  <c r="E38" i="18"/>
  <c r="B38" i="18"/>
  <c r="K35" i="18"/>
  <c r="H35" i="18"/>
  <c r="E35" i="18"/>
  <c r="B35" i="18"/>
  <c r="K32" i="18"/>
  <c r="H32" i="18"/>
  <c r="E32" i="18"/>
  <c r="B32" i="18"/>
  <c r="K29" i="18"/>
  <c r="H29" i="18"/>
  <c r="E29" i="18"/>
  <c r="B29" i="18"/>
  <c r="K26" i="18"/>
  <c r="H26" i="18"/>
  <c r="E26" i="18"/>
  <c r="B26" i="18"/>
  <c r="K23" i="18"/>
  <c r="H23" i="18"/>
  <c r="E23" i="18"/>
  <c r="B23" i="18"/>
  <c r="K20" i="18"/>
  <c r="H20" i="18"/>
  <c r="E20" i="18"/>
  <c r="B20" i="18"/>
  <c r="K17" i="18"/>
  <c r="H17" i="18"/>
  <c r="E17" i="18"/>
  <c r="B17" i="18"/>
  <c r="K14" i="18"/>
  <c r="H14" i="18"/>
  <c r="E14" i="18"/>
  <c r="B14" i="18"/>
  <c r="K11" i="18"/>
  <c r="H11" i="18"/>
  <c r="E11" i="18"/>
  <c r="B11" i="18"/>
  <c r="K8" i="18"/>
  <c r="H8" i="18"/>
  <c r="E8" i="18"/>
  <c r="B8" i="18"/>
  <c r="K5" i="18"/>
  <c r="H5" i="18"/>
  <c r="E5" i="18"/>
  <c r="B5" i="18"/>
  <c r="L2" i="18" a="1"/>
  <c r="L2" i="18" s="1"/>
  <c r="K161" i="17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I2" i="17" s="1" a="1"/>
  <c r="I2" i="17" s="1"/>
  <c r="E8" i="17"/>
  <c r="F2" i="17" s="1" a="1"/>
  <c r="F2" i="17" s="1"/>
  <c r="B8" i="17"/>
  <c r="K5" i="17"/>
  <c r="L2" i="17" s="1" a="1"/>
  <c r="L2" i="17" s="1"/>
  <c r="H5" i="17"/>
  <c r="E5" i="17"/>
  <c r="B5" i="17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E8" i="16"/>
  <c r="F2" i="16" s="1" a="1"/>
  <c r="F2" i="16" s="1"/>
  <c r="B8" i="16"/>
  <c r="K5" i="16"/>
  <c r="L2" i="16" s="1" a="1"/>
  <c r="L2" i="16" s="1"/>
  <c r="H5" i="16"/>
  <c r="I2" i="16" s="1" a="1"/>
  <c r="I2" i="16" s="1"/>
  <c r="E5" i="16"/>
  <c r="B5" i="16"/>
  <c r="C2" i="16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E5" i="15"/>
  <c r="F2" i="15" s="1" a="1"/>
  <c r="F2" i="15" s="1"/>
  <c r="B5" i="15"/>
  <c r="C2" i="15" s="1" a="1"/>
  <c r="C2" i="15" s="1"/>
  <c r="I2" i="15" a="1"/>
  <c r="I2" i="15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5" i="14"/>
  <c r="L2" i="14" s="1" a="1"/>
  <c r="L2" i="14" s="1"/>
  <c r="H5" i="14"/>
  <c r="I2" i="14" s="1" a="1"/>
  <c r="I2" i="14" s="1"/>
  <c r="E5" i="14"/>
  <c r="F2" i="14" s="1" a="1"/>
  <c r="F2" i="14" s="1"/>
  <c r="B5" i="14"/>
  <c r="C2" i="14" a="1"/>
  <c r="C2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E8" i="13"/>
  <c r="B8" i="13"/>
  <c r="C2" i="13" s="1" a="1"/>
  <c r="C2" i="13" s="1"/>
  <c r="K5" i="13"/>
  <c r="H5" i="13"/>
  <c r="E5" i="13"/>
  <c r="F2" i="13" s="1" a="1"/>
  <c r="F2" i="13" s="1"/>
  <c r="B5" i="13"/>
  <c r="L2" i="13" a="1"/>
  <c r="L2" i="13" s="1"/>
  <c r="I2" i="13" a="1"/>
  <c r="I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B8" i="12"/>
  <c r="K5" i="12"/>
  <c r="L2" i="12" s="1" a="1"/>
  <c r="L2" i="12" s="1"/>
  <c r="H5" i="12"/>
  <c r="I2" i="12" s="1" a="1"/>
  <c r="I2" i="12" s="1"/>
  <c r="E5" i="12"/>
  <c r="B5" i="12"/>
  <c r="F2" i="12" a="1"/>
  <c r="F2" i="12" s="1"/>
  <c r="C2" i="12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F2" i="10" s="1" a="1"/>
  <c r="F2" i="10" s="1"/>
  <c r="G2" i="10" s="1"/>
  <c r="B5" i="10"/>
  <c r="C2" i="10" a="1"/>
  <c r="C2" i="10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B8" i="9"/>
  <c r="C2" i="9" s="1" a="1"/>
  <c r="C2" i="9" s="1"/>
  <c r="K5" i="9"/>
  <c r="H5" i="9"/>
  <c r="E5" i="9"/>
  <c r="F2" i="9" s="1" a="1"/>
  <c r="F2" i="9" s="1"/>
  <c r="G2" i="9" s="1"/>
  <c r="B5" i="9"/>
  <c r="L2" i="9" a="1"/>
  <c r="L2" i="9" s="1"/>
  <c r="I2" i="9" a="1"/>
  <c r="I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C2" i="8" s="1" a="1"/>
  <c r="C2" i="8" s="1"/>
  <c r="H20" i="8"/>
  <c r="E20" i="8"/>
  <c r="B20" i="8"/>
  <c r="H17" i="8"/>
  <c r="E17" i="8"/>
  <c r="B17" i="8"/>
  <c r="H14" i="8"/>
  <c r="E14" i="8"/>
  <c r="B14" i="8"/>
  <c r="H11" i="8"/>
  <c r="E11" i="8"/>
  <c r="B11" i="8"/>
  <c r="H8" i="8"/>
  <c r="E8" i="8"/>
  <c r="F2" i="8" s="1" a="1"/>
  <c r="F2" i="8" s="1"/>
  <c r="B8" i="8"/>
  <c r="H5" i="8"/>
  <c r="I2" i="8" s="1" a="1"/>
  <c r="I2" i="8" s="1"/>
  <c r="E5" i="8"/>
  <c r="B5" i="8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I2" i="7" s="1" a="1"/>
  <c r="I2" i="7" s="1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F2" i="7" s="1" a="1"/>
  <c r="F2" i="7" s="1"/>
  <c r="B8" i="7"/>
  <c r="H5" i="7"/>
  <c r="E5" i="7"/>
  <c r="B5" i="7"/>
  <c r="C2" i="7" s="1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H8" i="6"/>
  <c r="E8" i="6"/>
  <c r="B8" i="6"/>
  <c r="K5" i="6"/>
  <c r="L2" i="6" s="1" a="1"/>
  <c r="L2" i="6" s="1"/>
  <c r="H5" i="6"/>
  <c r="I2" i="6" s="1" a="1"/>
  <c r="I2" i="6" s="1"/>
  <c r="E5" i="6"/>
  <c r="B5" i="6"/>
  <c r="F2" i="6" a="1"/>
  <c r="F2" i="6" s="1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B8" i="4"/>
  <c r="C2" i="4" s="1" a="1"/>
  <c r="C2" i="4" s="1"/>
  <c r="K5" i="4"/>
  <c r="L2" i="4" s="1" a="1"/>
  <c r="L2" i="4" s="1"/>
  <c r="H5" i="4"/>
  <c r="E5" i="4"/>
  <c r="F2" i="4" s="1" a="1"/>
  <c r="F2" i="4" s="1"/>
  <c r="B5" i="4"/>
  <c r="I2" i="4" a="1"/>
  <c r="I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E4" i="3"/>
  <c r="G1" i="3" s="1" a="1"/>
  <c r="G1" i="3" s="1"/>
  <c r="B4" i="3"/>
  <c r="I1" i="3" a="1"/>
  <c r="I1" i="3" s="1"/>
  <c r="C1" i="3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D4" i="2"/>
  <c r="E1" i="2" s="1" a="1"/>
  <c r="E1" i="2" s="1"/>
  <c r="B4" i="2"/>
  <c r="C1" i="2" s="1" a="1"/>
  <c r="C1" i="2" s="1"/>
  <c r="I1" i="2" a="1"/>
  <c r="I1" i="2" s="1"/>
  <c r="G1" i="2" a="1"/>
  <c r="G1" i="2" s="1"/>
  <c r="J1" i="3" s="1" a="1"/>
  <c r="J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B8" i="1"/>
  <c r="C2" i="1" s="1" a="1"/>
  <c r="C2" i="1" s="1"/>
  <c r="K5" i="1"/>
  <c r="H5" i="1"/>
  <c r="E5" i="1"/>
  <c r="F2" i="1" s="1" a="1"/>
  <c r="F2" i="1" s="1"/>
  <c r="G2" i="1" s="1"/>
  <c r="B5" i="1"/>
  <c r="L2" i="1" a="1"/>
  <c r="L2" i="1" s="1"/>
  <c r="I2" i="1" a="1"/>
  <c r="I2" i="1" s="1"/>
  <c r="F2" i="18" l="1" a="1"/>
  <c r="F2" i="18" s="1"/>
  <c r="G2" i="18" s="1"/>
  <c r="I2" i="18" a="1"/>
  <c r="I2" i="18" s="1"/>
  <c r="C2" i="18" a="1"/>
  <c r="C2" i="18" s="1"/>
  <c r="O2" i="16"/>
  <c r="O2" i="1"/>
  <c r="O2" i="5"/>
  <c r="O2" i="12"/>
  <c r="D1" i="3" a="1"/>
  <c r="D1" i="3" s="1"/>
  <c r="D2" i="4" s="1"/>
  <c r="J2" i="4"/>
  <c r="J2" i="5" s="1"/>
  <c r="J2" i="6" s="1"/>
  <c r="G2" i="7" s="1"/>
  <c r="G2" i="5"/>
  <c r="G2" i="6" s="1"/>
  <c r="O2" i="11"/>
  <c r="O2" i="15"/>
  <c r="O2" i="9"/>
  <c r="O2" i="10"/>
  <c r="O2" i="13"/>
  <c r="O2" i="14"/>
  <c r="G2" i="4"/>
  <c r="L2" i="8"/>
  <c r="O2" i="17"/>
  <c r="B30" i="4"/>
  <c r="L2" i="7"/>
  <c r="G2" i="11"/>
  <c r="G2" i="12" s="1"/>
  <c r="G2" i="13" s="1"/>
  <c r="G2" i="14" s="1"/>
  <c r="G2" i="15" s="1"/>
  <c r="G2" i="16" s="1"/>
  <c r="G2" i="17" s="1"/>
  <c r="O2" i="6"/>
  <c r="F1" i="3" a="1"/>
  <c r="F1" i="3" s="1"/>
  <c r="M1" i="3" a="1"/>
  <c r="M1" i="3" s="1"/>
  <c r="M2" i="4" s="1"/>
  <c r="M2" i="5" s="1"/>
  <c r="M2" i="6" s="1"/>
  <c r="J2" i="7" s="1"/>
  <c r="O2" i="18" l="1"/>
  <c r="J2" i="8"/>
  <c r="M2" i="9"/>
  <c r="G2" i="8"/>
  <c r="J2" i="9"/>
  <c r="B31" i="4"/>
  <c r="D2" i="5"/>
  <c r="O3" i="5" l="1"/>
  <c r="D2" i="6"/>
  <c r="J2" i="10"/>
  <c r="J2" i="11" s="1"/>
  <c r="J2" i="12" s="1"/>
  <c r="J2" i="13" s="1"/>
  <c r="J2" i="14" s="1"/>
  <c r="J2" i="15" s="1"/>
  <c r="J2" i="16" s="1"/>
  <c r="J2" i="17" s="1"/>
  <c r="J2" i="18"/>
  <c r="J2" i="1"/>
  <c r="M2" i="10"/>
  <c r="M2" i="11" s="1"/>
  <c r="M2" i="12" s="1"/>
  <c r="M2" i="13" s="1"/>
  <c r="M2" i="14" s="1"/>
  <c r="M2" i="15" s="1"/>
  <c r="M2" i="16" s="1"/>
  <c r="M2" i="17" s="1"/>
  <c r="M2" i="1"/>
  <c r="M2" i="18"/>
  <c r="O3" i="6" l="1"/>
  <c r="D2" i="7"/>
  <c r="L3" i="7" l="1"/>
  <c r="D2" i="8"/>
  <c r="L3" i="8" s="1"/>
  <c r="D2" i="9"/>
  <c r="O3" i="9" l="1"/>
  <c r="D2" i="10"/>
  <c r="D2" i="18"/>
  <c r="O3" i="18" s="1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<sst xmlns="http://schemas.openxmlformats.org/spreadsheetml/2006/main" count="2971" uniqueCount="96">
  <si>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</si>
  <si>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</si>
  <si>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</si>
  <si>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</si>
  <si>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</si>
  <si>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</si>
  <si>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</si>
  <si>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</si>
  <si>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</si>
  <si>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</si>
  <si>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</si>
  <si>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</si>
  <si>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</si>
  <si>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</si>
  <si>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</si>
  <si>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</si>
  <si>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</si>
  <si>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</si>
  <si>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</si>
  <si>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</si>
  <si>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</si>
  <si>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</si>
  <si>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</si>
  <si>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</si>
  <si>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</si>
  <si>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</si>
  <si>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</si>
  <si>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</si>
  <si>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</si>
  <si>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</si>
  <si>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</si>
  <si>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</si>
  <si>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</si>
  <si>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</si>
  <si>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</si>
  <si>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</si>
  <si>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</si>
  <si>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</si>
  <si>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</si>
  <si>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</si>
  <si>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</si>
  <si>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</si>
  <si>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</si>
  <si>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</si>
  <si>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</si>
  <si>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</si>
  <si>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</si>
  <si>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</si>
  <si>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</si>
  <si>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</si>
  <si>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</si>
  <si>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</si>
  <si>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</si>
  <si>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</si>
  <si>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</si>
  <si>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</si>
  <si>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</si>
  <si>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</si>
  <si>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</si>
  <si>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</si>
  <si>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</si>
  <si>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</si>
  <si>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</si>
  <si>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</si>
  <si>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</si>
  <si>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</si>
  <si>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</si>
  <si>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</si>
  <si>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</si>
  <si>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</si>
  <si>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</si>
  <si>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</si>
  <si>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</si>
  <si>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</si>
  <si>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</si>
  <si>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</si>
  <si>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</si>
  <si>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</si>
  <si>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</si>
  <si>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</si>
  <si>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</si>
  <si>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</si>
  <si>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</si>
  <si>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</si>
  <si>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</si>
  <si>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</si>
  <si>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</si>
  <si>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</si>
  <si>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</si>
  <si>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</si>
  <si>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</si>
  <si>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</si>
  <si>
    <t>31/01/2023</t>
  </si>
  <si>
    <t>14/02/2023</t>
  </si>
  <si>
    <t>15/02/2023</t>
  </si>
  <si>
    <t>28/02/2023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</si>
</sst>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50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13" xfId="9" applyBorder="1" applyAlignment="1" applyProtection="1">
      <alignment horizontal="center" vertical="top"/>
    </xf>
    <xf numFmtId="165" fontId="3" fillId="5" borderId="1" xfId="4" applyNumberFormat="1" applyBorder="1" applyAlignment="1" applyProtection="1">
      <alignment horizontal="center"/>
    </xf>
    <xf numFmtId="0" fontId="3" fillId="10" borderId="33" xfId="9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32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0" fillId="11" borderId="1" xfId="0" applyFill="1" applyBorder="1" applyAlignment="1">
      <alignment horizontal="center" vertical="center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43400" y="983160"/>
          <a:ext cx="143676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>
      <c r="A3" s="115"/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/>
      <c r="L3" s="119" t="s">
        <v>9</v>
      </c>
      <c r="M3" s="119"/>
      <c r="N3" s="27" t="s">
        <v>3</v>
      </c>
      <c r="O3" s="28">
        <f>D2+G2+J2+M2</f>
        <v>17.40138888888891</v>
      </c>
    </row>
    <row r="4" spans="1:15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/>
      <c r="L4" s="119"/>
      <c r="M4" s="119"/>
    </row>
    <row r="5" spans="1:15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>
      <c r="A6" s="115"/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/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defaultColWidth="8.7109375" defaultRowHeight="14.45"/>
  <cols>
    <col min="1" max="1" width="15.28515625" customWidth="1"/>
    <col min="2" max="9" width="17.28515625" customWidth="1"/>
  </cols>
  <sheetData>
    <row r="1" spans="1:9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>
      <c r="A9" s="122"/>
      <c r="B9" s="29"/>
      <c r="C9" s="123"/>
      <c r="D9" s="30"/>
      <c r="E9" s="124"/>
      <c r="F9" s="31"/>
      <c r="G9" s="125"/>
      <c r="H9" s="65"/>
      <c r="I9" s="126"/>
    </row>
    <row r="10" spans="1:9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7" t="s">
        <v>9</v>
      </c>
      <c r="M2" s="137"/>
    </row>
    <row r="3" spans="1:14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7"/>
      <c r="M3" s="137"/>
    </row>
    <row r="4" spans="1:14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40">
        <f>K3-K2</f>
        <v>8.3333333333334036E-2</v>
      </c>
      <c r="L4" s="140"/>
      <c r="M4" s="140"/>
    </row>
    <row r="5" spans="1:14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4" t="s">
        <v>14</v>
      </c>
      <c r="M5" s="134"/>
    </row>
    <row r="6" spans="1:14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4"/>
      <c r="M6" s="134"/>
    </row>
    <row r="7" spans="1:14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6" t="s">
        <v>9</v>
      </c>
      <c r="M8" s="136"/>
    </row>
    <row r="9" spans="1:14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6"/>
      <c r="M9" s="136"/>
    </row>
    <row r="10" spans="1:14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7" t="s">
        <v>9</v>
      </c>
      <c r="M14" s="137"/>
    </row>
    <row r="15" spans="1:14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7"/>
      <c r="M15" s="137"/>
    </row>
    <row r="16" spans="1:14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6" t="s">
        <v>9</v>
      </c>
      <c r="M17" s="136"/>
    </row>
    <row r="18" spans="1:13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6"/>
      <c r="M18" s="136"/>
    </row>
    <row r="19" spans="1:13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4" t="s">
        <v>9</v>
      </c>
      <c r="M20" s="134"/>
    </row>
    <row r="21" spans="1:13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4"/>
      <c r="M21" s="134"/>
    </row>
    <row r="22" spans="1:13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35">
        <f>K21-K20</f>
        <v>0</v>
      </c>
      <c r="L22" s="135"/>
      <c r="M22" s="135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>
      <c r="A1" s="145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>
      <c r="A2" s="145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>
      <c r="A3" s="115">
        <v>44571</v>
      </c>
      <c r="B3" s="23">
        <v>0.33333333333333298</v>
      </c>
      <c r="C3" s="141" t="s">
        <v>18</v>
      </c>
      <c r="D3" s="141"/>
      <c r="E3" s="24">
        <v>0.33333333333333298</v>
      </c>
      <c r="F3" s="142" t="s">
        <v>19</v>
      </c>
      <c r="G3" s="142"/>
      <c r="H3" s="25">
        <v>0.33333333333333298</v>
      </c>
      <c r="I3" s="143" t="s">
        <v>19</v>
      </c>
      <c r="J3" s="143"/>
      <c r="K3" s="26">
        <v>0.33333333333333298</v>
      </c>
      <c r="L3" s="144" t="s">
        <v>19</v>
      </c>
      <c r="M3" s="144"/>
    </row>
    <row r="4" spans="1:14">
      <c r="A4" s="115"/>
      <c r="B4" s="29">
        <v>0.41666666666666702</v>
      </c>
      <c r="C4" s="141"/>
      <c r="D4" s="141"/>
      <c r="E4" s="30">
        <v>0.41666666666666702</v>
      </c>
      <c r="F4" s="142"/>
      <c r="G4" s="142"/>
      <c r="H4" s="31">
        <v>0.41666666666666702</v>
      </c>
      <c r="I4" s="143"/>
      <c r="J4" s="143"/>
      <c r="K4" s="32">
        <v>0.41666666666666702</v>
      </c>
      <c r="L4" s="144"/>
      <c r="M4" s="144"/>
    </row>
    <row r="5" spans="1:14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>
      <c r="A6" s="115">
        <v>44583</v>
      </c>
      <c r="B6" s="23">
        <v>0.79166666666666696</v>
      </c>
      <c r="C6" s="141" t="s">
        <v>20</v>
      </c>
      <c r="D6" s="141"/>
      <c r="E6" s="24">
        <v>0.82291666666666696</v>
      </c>
      <c r="F6" s="142" t="s">
        <v>20</v>
      </c>
      <c r="G6" s="142"/>
      <c r="H6" s="25">
        <v>0.79166666666666696</v>
      </c>
      <c r="I6" s="143" t="s">
        <v>20</v>
      </c>
      <c r="J6" s="143"/>
      <c r="K6" s="45">
        <v>0.79166666666666696</v>
      </c>
      <c r="L6" s="144" t="s">
        <v>20</v>
      </c>
      <c r="M6" s="144"/>
    </row>
    <row r="7" spans="1:14">
      <c r="A7" s="115"/>
      <c r="B7" s="29">
        <v>0.89791666666666703</v>
      </c>
      <c r="C7" s="141"/>
      <c r="D7" s="141"/>
      <c r="E7" s="30">
        <v>0.89791666666666703</v>
      </c>
      <c r="F7" s="142"/>
      <c r="G7" s="142"/>
      <c r="H7" s="31">
        <v>0.89583333333333304</v>
      </c>
      <c r="I7" s="143"/>
      <c r="J7" s="143"/>
      <c r="K7" s="32">
        <v>0.89791666666666703</v>
      </c>
      <c r="L7" s="144"/>
      <c r="M7" s="144"/>
    </row>
    <row r="8" spans="1:14">
      <c r="A8" s="115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>
      <c r="A9" s="115">
        <v>44584</v>
      </c>
      <c r="B9" s="23">
        <v>0.75694444444444398</v>
      </c>
      <c r="C9" s="141" t="s">
        <v>21</v>
      </c>
      <c r="D9" s="141"/>
      <c r="E9" s="24">
        <v>0.75694444444444398</v>
      </c>
      <c r="F9" s="142" t="s">
        <v>21</v>
      </c>
      <c r="G9" s="142"/>
      <c r="H9" s="25">
        <v>0.75694444444444398</v>
      </c>
      <c r="I9" s="143" t="s">
        <v>21</v>
      </c>
      <c r="J9" s="143"/>
      <c r="K9" s="49">
        <v>0.75694444444444398</v>
      </c>
      <c r="L9" s="144" t="s">
        <v>21</v>
      </c>
      <c r="M9" s="144"/>
    </row>
    <row r="10" spans="1:14">
      <c r="A10" s="115"/>
      <c r="B10" s="29">
        <v>0.83541666666666703</v>
      </c>
      <c r="C10" s="141"/>
      <c r="D10" s="141"/>
      <c r="E10" s="30">
        <v>0.83541666666666703</v>
      </c>
      <c r="F10" s="142"/>
      <c r="G10" s="142"/>
      <c r="H10" s="31">
        <v>0.83541666666666703</v>
      </c>
      <c r="I10" s="143"/>
      <c r="J10" s="143"/>
      <c r="K10" s="32">
        <v>0.83541666666666703</v>
      </c>
      <c r="L10" s="144"/>
      <c r="M10" s="144"/>
    </row>
    <row r="11" spans="1:14">
      <c r="A11" s="115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>
      <c r="A12" s="115"/>
      <c r="B12" s="23"/>
      <c r="C12" s="141" t="s">
        <v>9</v>
      </c>
      <c r="D12" s="141"/>
      <c r="E12" s="24"/>
      <c r="F12" s="142" t="s">
        <v>9</v>
      </c>
      <c r="G12" s="142"/>
      <c r="H12" s="25"/>
      <c r="I12" s="143" t="s">
        <v>9</v>
      </c>
      <c r="J12" s="143"/>
      <c r="K12" s="49"/>
      <c r="L12" s="144" t="s">
        <v>9</v>
      </c>
      <c r="M12" s="144"/>
    </row>
    <row r="13" spans="1:14">
      <c r="A13" s="115"/>
      <c r="B13" s="29"/>
      <c r="C13" s="141"/>
      <c r="D13" s="141"/>
      <c r="E13" s="30"/>
      <c r="F13" s="142"/>
      <c r="G13" s="142"/>
      <c r="H13" s="31"/>
      <c r="I13" s="143"/>
      <c r="J13" s="143"/>
      <c r="K13" s="50"/>
      <c r="L13" s="144"/>
      <c r="M13" s="144"/>
    </row>
    <row r="14" spans="1:14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>
      <c r="A15" s="115"/>
      <c r="B15" s="23"/>
      <c r="C15" s="141" t="s">
        <v>9</v>
      </c>
      <c r="D15" s="141"/>
      <c r="E15" s="24"/>
      <c r="F15" s="142" t="s">
        <v>9</v>
      </c>
      <c r="G15" s="142"/>
      <c r="H15" s="25"/>
      <c r="I15" s="143" t="s">
        <v>9</v>
      </c>
      <c r="J15" s="143"/>
      <c r="K15" s="26"/>
      <c r="L15" s="144" t="s">
        <v>9</v>
      </c>
      <c r="M15" s="144"/>
    </row>
    <row r="16" spans="1:14">
      <c r="A16" s="115"/>
      <c r="B16" s="29"/>
      <c r="C16" s="141"/>
      <c r="D16" s="141"/>
      <c r="E16" s="30"/>
      <c r="F16" s="142"/>
      <c r="G16" s="142"/>
      <c r="H16" s="31"/>
      <c r="I16" s="143"/>
      <c r="J16" s="143"/>
      <c r="K16" s="32"/>
      <c r="L16" s="144"/>
      <c r="M16" s="144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/>
      <c r="B18" s="23"/>
      <c r="C18" s="141" t="s">
        <v>9</v>
      </c>
      <c r="D18" s="141"/>
      <c r="E18" s="24"/>
      <c r="F18" s="142" t="s">
        <v>9</v>
      </c>
      <c r="G18" s="142"/>
      <c r="H18" s="25"/>
      <c r="I18" s="143" t="s">
        <v>9</v>
      </c>
      <c r="J18" s="143"/>
      <c r="K18" s="49"/>
      <c r="L18" s="144" t="s">
        <v>9</v>
      </c>
      <c r="M18" s="144"/>
    </row>
    <row r="19" spans="1:13">
      <c r="A19" s="115"/>
      <c r="B19" s="29"/>
      <c r="C19" s="141"/>
      <c r="D19" s="141"/>
      <c r="E19" s="30"/>
      <c r="F19" s="142"/>
      <c r="G19" s="142"/>
      <c r="H19" s="31"/>
      <c r="I19" s="143"/>
      <c r="J19" s="143"/>
      <c r="K19" s="32"/>
      <c r="L19" s="144"/>
      <c r="M19" s="144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41" t="s">
        <v>9</v>
      </c>
      <c r="D21" s="141"/>
      <c r="E21" s="24"/>
      <c r="F21" s="142" t="s">
        <v>9</v>
      </c>
      <c r="G21" s="142"/>
      <c r="H21" s="25"/>
      <c r="I21" s="143" t="s">
        <v>9</v>
      </c>
      <c r="J21" s="143"/>
      <c r="K21" s="26"/>
      <c r="L21" s="144" t="s">
        <v>9</v>
      </c>
      <c r="M21" s="144"/>
    </row>
    <row r="22" spans="1:13">
      <c r="A22" s="115"/>
      <c r="B22" s="29"/>
      <c r="C22" s="141"/>
      <c r="D22" s="141"/>
      <c r="E22" s="30"/>
      <c r="F22" s="142"/>
      <c r="G22" s="142"/>
      <c r="H22" s="31"/>
      <c r="I22" s="143"/>
      <c r="J22" s="143"/>
      <c r="K22" s="50"/>
      <c r="L22" s="144"/>
      <c r="M22" s="144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>
      <c r="A30" s="99" t="s">
        <v>2</v>
      </c>
      <c r="B30" s="100">
        <f>C2+F2+I2+L2</f>
        <v>1.0388888888888945</v>
      </c>
    </row>
    <row r="31" spans="1:13">
      <c r="A31" s="99" t="s">
        <v>3</v>
      </c>
      <c r="B31" s="100">
        <f>D2+G2+J2+M2</f>
        <v>4.9680555555555674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>
      <c r="A2" s="120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>
      <c r="A3" s="115">
        <v>44585</v>
      </c>
      <c r="B3" s="23">
        <v>0.33333333333333298</v>
      </c>
      <c r="C3" s="116" t="s">
        <v>23</v>
      </c>
      <c r="D3" s="116"/>
      <c r="E3" s="24">
        <v>0.33333333333333298</v>
      </c>
      <c r="F3" s="117" t="s">
        <v>23</v>
      </c>
      <c r="G3" s="117"/>
      <c r="H3" s="25">
        <v>0.33333333333333298</v>
      </c>
      <c r="I3" s="118" t="s">
        <v>23</v>
      </c>
      <c r="J3" s="118"/>
      <c r="K3" s="26">
        <v>0.33333333333333298</v>
      </c>
      <c r="L3" s="119" t="s">
        <v>23</v>
      </c>
      <c r="M3" s="119"/>
      <c r="N3" s="99" t="s">
        <v>3</v>
      </c>
      <c r="O3" s="100">
        <f>D2+G2+J2+M2</f>
        <v>8.7736111111111263</v>
      </c>
    </row>
    <row r="4" spans="1:15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44585</v>
      </c>
      <c r="B6" s="23">
        <v>0.6875</v>
      </c>
      <c r="C6" s="116" t="s">
        <v>24</v>
      </c>
      <c r="D6" s="116"/>
      <c r="E6" s="24">
        <v>0.6875</v>
      </c>
      <c r="F6" s="117" t="s">
        <v>24</v>
      </c>
      <c r="G6" s="117"/>
      <c r="H6" s="25">
        <v>0.6875</v>
      </c>
      <c r="I6" s="118" t="s">
        <v>24</v>
      </c>
      <c r="J6" s="118"/>
      <c r="K6" s="45">
        <v>0.6875</v>
      </c>
      <c r="L6" s="119" t="s">
        <v>25</v>
      </c>
      <c r="M6" s="119"/>
    </row>
    <row r="7" spans="1:15">
      <c r="A7" s="115"/>
      <c r="B7" s="29">
        <v>0.71875</v>
      </c>
      <c r="C7" s="116"/>
      <c r="D7" s="116"/>
      <c r="E7" s="30">
        <v>0.71875</v>
      </c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>
      <c r="A8" s="115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>
      <c r="A9" s="115">
        <v>44586</v>
      </c>
      <c r="B9" s="23">
        <v>0.58333333333333304</v>
      </c>
      <c r="C9" s="116" t="s">
        <v>26</v>
      </c>
      <c r="D9" s="116"/>
      <c r="E9" s="24"/>
      <c r="F9" s="117" t="s">
        <v>27</v>
      </c>
      <c r="G9" s="117"/>
      <c r="H9" s="25"/>
      <c r="I9" s="118" t="s">
        <v>10</v>
      </c>
      <c r="J9" s="118"/>
      <c r="K9" s="49"/>
      <c r="L9" s="119" t="s">
        <v>10</v>
      </c>
      <c r="M9" s="119"/>
    </row>
    <row r="10" spans="1:15">
      <c r="A10" s="115"/>
      <c r="B10" s="29">
        <v>0.6875</v>
      </c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>
        <v>44588</v>
      </c>
      <c r="B12" s="23">
        <v>0.85416666666666696</v>
      </c>
      <c r="C12" s="116" t="s">
        <v>28</v>
      </c>
      <c r="D12" s="116"/>
      <c r="E12" s="24"/>
      <c r="F12" s="117" t="s">
        <v>10</v>
      </c>
      <c r="G12" s="117"/>
      <c r="H12" s="25"/>
      <c r="I12" s="118" t="s">
        <v>10</v>
      </c>
      <c r="J12" s="118"/>
      <c r="K12" s="49"/>
      <c r="L12" s="119" t="s">
        <v>10</v>
      </c>
      <c r="M12" s="119"/>
    </row>
    <row r="13" spans="1:15">
      <c r="A13" s="115"/>
      <c r="B13" s="29">
        <v>0.89583333333333304</v>
      </c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>
      <c r="A15" s="115">
        <v>44591</v>
      </c>
      <c r="B15" s="23"/>
      <c r="C15" s="116" t="s">
        <v>10</v>
      </c>
      <c r="D15" s="116"/>
      <c r="E15" s="24"/>
      <c r="F15" s="117" t="s">
        <v>10</v>
      </c>
      <c r="G15" s="117"/>
      <c r="H15" s="25"/>
      <c r="I15" s="118" t="s">
        <v>10</v>
      </c>
      <c r="J15" s="118"/>
      <c r="K15" s="26">
        <v>0.33333333333333298</v>
      </c>
      <c r="L15" s="119" t="s">
        <v>29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0.41666666666666702</v>
      </c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>
      <c r="A18" s="115">
        <v>44591</v>
      </c>
      <c r="B18" s="23">
        <v>0.70833333333333304</v>
      </c>
      <c r="C18" s="116" t="s">
        <v>30</v>
      </c>
      <c r="D18" s="116"/>
      <c r="E18" s="24">
        <v>0.70833333333333304</v>
      </c>
      <c r="F18" s="117" t="s">
        <v>30</v>
      </c>
      <c r="G18" s="117"/>
      <c r="H18" s="25">
        <v>0.61805555555555602</v>
      </c>
      <c r="I18" s="118" t="s">
        <v>31</v>
      </c>
      <c r="J18" s="118"/>
      <c r="K18" s="49">
        <v>0.70833333333333304</v>
      </c>
      <c r="L18" s="119" t="s">
        <v>30</v>
      </c>
      <c r="M18" s="119"/>
    </row>
    <row r="19" spans="1:13">
      <c r="A19" s="115"/>
      <c r="B19" s="29">
        <v>0.92708333333333304</v>
      </c>
      <c r="C19" s="116"/>
      <c r="D19" s="116"/>
      <c r="E19" s="30">
        <v>0.92708333333333304</v>
      </c>
      <c r="F19" s="117"/>
      <c r="G19" s="117"/>
      <c r="H19" s="31">
        <v>0.92708333333333304</v>
      </c>
      <c r="I19" s="118"/>
      <c r="J19" s="118"/>
      <c r="K19" s="32">
        <v>0.92708333333333304</v>
      </c>
      <c r="L19" s="119"/>
      <c r="M19" s="119"/>
    </row>
    <row r="20" spans="1:13">
      <c r="A20" s="115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>
      <c r="A21" s="115">
        <v>44592</v>
      </c>
      <c r="B21" s="23">
        <v>0.375</v>
      </c>
      <c r="C21" s="116" t="s">
        <v>30</v>
      </c>
      <c r="D21" s="116"/>
      <c r="E21" s="24">
        <v>0.375</v>
      </c>
      <c r="F21" s="117" t="s">
        <v>30</v>
      </c>
      <c r="G21" s="117"/>
      <c r="H21" s="25">
        <v>0.375</v>
      </c>
      <c r="I21" s="118" t="s">
        <v>31</v>
      </c>
      <c r="J21" s="118"/>
      <c r="K21" s="26">
        <v>0.375</v>
      </c>
      <c r="L21" s="119" t="s">
        <v>30</v>
      </c>
      <c r="M21" s="119"/>
    </row>
    <row r="22" spans="1:1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>
        <v>0.41666666666666702</v>
      </c>
      <c r="I22" s="118"/>
      <c r="J22" s="118"/>
      <c r="K22" s="50">
        <v>0.41666666666666702</v>
      </c>
      <c r="L22" s="119"/>
      <c r="M22" s="119"/>
    </row>
    <row r="23" spans="1:13">
      <c r="A23" s="115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>
      <c r="A24" s="115">
        <v>44592</v>
      </c>
      <c r="B24" s="23">
        <v>0.625</v>
      </c>
      <c r="C24" s="116" t="s">
        <v>30</v>
      </c>
      <c r="D24" s="116"/>
      <c r="E24" s="24">
        <v>0.625</v>
      </c>
      <c r="F24" s="117" t="s">
        <v>30</v>
      </c>
      <c r="G24" s="117"/>
      <c r="H24" s="25">
        <v>0.625</v>
      </c>
      <c r="I24" s="118" t="s">
        <v>32</v>
      </c>
      <c r="J24" s="118"/>
      <c r="K24" s="26">
        <v>0.625</v>
      </c>
      <c r="L24" s="119" t="s">
        <v>30</v>
      </c>
      <c r="M24" s="119"/>
    </row>
    <row r="25" spans="1:13">
      <c r="A25" s="115"/>
      <c r="B25" s="29">
        <v>0.75</v>
      </c>
      <c r="C25" s="116"/>
      <c r="D25" s="116"/>
      <c r="E25" s="30">
        <v>0.75</v>
      </c>
      <c r="F25" s="117"/>
      <c r="G25" s="117"/>
      <c r="H25" s="31">
        <v>0.70833333333333304</v>
      </c>
      <c r="I25" s="118"/>
      <c r="J25" s="118"/>
      <c r="K25" s="32">
        <v>0.75</v>
      </c>
      <c r="L25" s="119"/>
      <c r="M25" s="119"/>
    </row>
    <row r="26" spans="1:13">
      <c r="A26" s="115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15">
        <v>44594</v>
      </c>
      <c r="B27" s="23">
        <v>0.5</v>
      </c>
      <c r="C27" s="116" t="s">
        <v>10</v>
      </c>
      <c r="D27" s="116"/>
      <c r="E27" s="24">
        <v>0.5</v>
      </c>
      <c r="F27" s="117" t="s">
        <v>10</v>
      </c>
      <c r="G27" s="117"/>
      <c r="H27" s="25">
        <v>0.5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>
      <c r="A28" s="115"/>
      <c r="B28" s="29">
        <v>0.53125</v>
      </c>
      <c r="C28" s="116"/>
      <c r="D28" s="116"/>
      <c r="E28" s="30">
        <v>0.53125</v>
      </c>
      <c r="F28" s="117"/>
      <c r="G28" s="117"/>
      <c r="H28" s="31">
        <v>0.53125</v>
      </c>
      <c r="I28" s="118"/>
      <c r="J28" s="118"/>
      <c r="K28" s="32">
        <v>0.53125</v>
      </c>
      <c r="L28" s="119"/>
      <c r="M28" s="119"/>
    </row>
    <row r="29" spans="1:13">
      <c r="A29" s="115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>
      <c r="A30" s="115">
        <v>44597</v>
      </c>
      <c r="B30" s="23">
        <v>0.75</v>
      </c>
      <c r="C30" s="116" t="s">
        <v>33</v>
      </c>
      <c r="D30" s="116"/>
      <c r="E30" s="24">
        <v>0.75</v>
      </c>
      <c r="F30" s="117" t="s">
        <v>10</v>
      </c>
      <c r="G30" s="117"/>
      <c r="H30" s="25">
        <v>0.75</v>
      </c>
      <c r="I30" s="118" t="s">
        <v>34</v>
      </c>
      <c r="J30" s="118"/>
      <c r="K30" s="26">
        <v>0.75</v>
      </c>
      <c r="L30" s="119" t="s">
        <v>10</v>
      </c>
      <c r="M30" s="119"/>
    </row>
    <row r="31" spans="1:13">
      <c r="A31" s="115"/>
      <c r="B31" s="29">
        <v>0.95833333333333304</v>
      </c>
      <c r="C31" s="116"/>
      <c r="D31" s="116"/>
      <c r="E31" s="30">
        <v>0.95833333333333304</v>
      </c>
      <c r="F31" s="117"/>
      <c r="G31" s="117"/>
      <c r="H31" s="31">
        <v>0.9375</v>
      </c>
      <c r="I31" s="118"/>
      <c r="J31" s="118"/>
      <c r="K31" s="50">
        <v>0.95833333333333304</v>
      </c>
      <c r="L31" s="119"/>
      <c r="M31" s="119"/>
    </row>
    <row r="32" spans="1:13">
      <c r="A32" s="115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>
      <c r="A33" s="115">
        <v>44598</v>
      </c>
      <c r="B33" s="23">
        <v>0.89583333333333304</v>
      </c>
      <c r="C33" s="116" t="s">
        <v>35</v>
      </c>
      <c r="D33" s="116"/>
      <c r="E33" s="24"/>
      <c r="F33" s="117" t="s">
        <v>10</v>
      </c>
      <c r="G33" s="117"/>
      <c r="H33" s="25">
        <v>0.83333333333333304</v>
      </c>
      <c r="I33" s="118" t="s">
        <v>34</v>
      </c>
      <c r="J33" s="118"/>
      <c r="K33" s="26">
        <v>0.41666666666666702</v>
      </c>
      <c r="L33" s="119" t="s">
        <v>36</v>
      </c>
      <c r="M33" s="119"/>
    </row>
    <row r="34" spans="1:13">
      <c r="A34" s="115"/>
      <c r="B34" s="29">
        <v>0.98611111111111105</v>
      </c>
      <c r="C34" s="116"/>
      <c r="D34" s="116"/>
      <c r="E34" s="30"/>
      <c r="F34" s="117"/>
      <c r="G34" s="117"/>
      <c r="H34" s="31">
        <v>1</v>
      </c>
      <c r="I34" s="118"/>
      <c r="J34" s="118"/>
      <c r="K34" s="32">
        <v>0.75</v>
      </c>
      <c r="L34" s="119"/>
      <c r="M34" s="119"/>
    </row>
    <row r="35" spans="1:13">
      <c r="A35" s="115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>
      <c r="A36" s="115"/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/>
      <c r="L36" s="119" t="s">
        <v>10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/>
      <c r="L39" s="119" t="s">
        <v>10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>
      <c r="A2" s="120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>
      <c r="A3" s="115">
        <v>44599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/>
      <c r="L3" s="119" t="s">
        <v>27</v>
      </c>
      <c r="M3" s="119"/>
      <c r="N3" s="99" t="s">
        <v>3</v>
      </c>
      <c r="O3" s="100">
        <f>D2+G2+J2+M2</f>
        <v>12.381250000000017</v>
      </c>
    </row>
    <row r="4" spans="1:15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/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>
      <c r="A6" s="115">
        <v>44599</v>
      </c>
      <c r="B6" s="23">
        <v>0.60763888888888895</v>
      </c>
      <c r="C6" s="116" t="s">
        <v>10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15">
        <v>44601</v>
      </c>
      <c r="B9" s="23">
        <v>0.49305555555555602</v>
      </c>
      <c r="C9" s="116" t="s">
        <v>9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>
      <c r="A12" s="115">
        <v>44606</v>
      </c>
      <c r="B12" s="23">
        <v>0.33333333333333298</v>
      </c>
      <c r="C12" s="116" t="s">
        <v>10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>
      <c r="A13" s="115"/>
      <c r="B13" s="29">
        <v>0.40625</v>
      </c>
      <c r="C13" s="116"/>
      <c r="D13" s="116"/>
      <c r="E13" s="30"/>
      <c r="F13" s="117"/>
      <c r="G13" s="117"/>
      <c r="H13" s="31">
        <v>0.40625</v>
      </c>
      <c r="I13" s="118"/>
      <c r="J13" s="118"/>
      <c r="K13" s="50">
        <v>0.40625</v>
      </c>
      <c r="L13" s="119"/>
      <c r="M13" s="119"/>
    </row>
    <row r="14" spans="1:15">
      <c r="A14" s="115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>
      <c r="A15" s="115">
        <v>44606</v>
      </c>
      <c r="B15" s="23">
        <v>0.60763888888888895</v>
      </c>
      <c r="C15" s="116" t="s">
        <v>10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>
      <c r="A16" s="115"/>
      <c r="B16" s="29">
        <v>0.71875</v>
      </c>
      <c r="C16" s="116"/>
      <c r="D16" s="116"/>
      <c r="E16" s="30"/>
      <c r="F16" s="117"/>
      <c r="G16" s="117"/>
      <c r="H16" s="31">
        <v>0.77083333333333304</v>
      </c>
      <c r="I16" s="118"/>
      <c r="J16" s="118"/>
      <c r="K16" s="32">
        <v>0.71875</v>
      </c>
      <c r="L16" s="119"/>
      <c r="M16" s="119"/>
    </row>
    <row r="17" spans="1:1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>
      <c r="A18" s="115">
        <v>44608</v>
      </c>
      <c r="B18" s="23">
        <v>0.49305555555555602</v>
      </c>
      <c r="C18" s="116" t="s">
        <v>10</v>
      </c>
      <c r="D18" s="116"/>
      <c r="E18" s="24"/>
      <c r="F18" s="117" t="s">
        <v>10</v>
      </c>
      <c r="G18" s="117"/>
      <c r="H18" s="25">
        <v>0.49305555555555602</v>
      </c>
      <c r="I18" s="118" t="s">
        <v>38</v>
      </c>
      <c r="J18" s="118"/>
      <c r="K18" s="49">
        <v>0.49305555555555602</v>
      </c>
      <c r="L18" s="119" t="s">
        <v>10</v>
      </c>
      <c r="M18" s="119"/>
    </row>
    <row r="19" spans="1:13">
      <c r="A19" s="115"/>
      <c r="B19" s="29">
        <v>0.52777777777777801</v>
      </c>
      <c r="C19" s="116"/>
      <c r="D19" s="116"/>
      <c r="E19" s="30"/>
      <c r="F19" s="117"/>
      <c r="G19" s="117"/>
      <c r="H19" s="31">
        <v>0.52777777777777801</v>
      </c>
      <c r="I19" s="118"/>
      <c r="J19" s="118"/>
      <c r="K19" s="32">
        <v>0.52777777777777801</v>
      </c>
      <c r="L19" s="119"/>
      <c r="M19" s="119"/>
    </row>
    <row r="20" spans="1:1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>
      <c r="A21" s="115">
        <v>44613</v>
      </c>
      <c r="B21" s="23">
        <v>0.66666666666666696</v>
      </c>
      <c r="C21" s="116" t="s">
        <v>39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/>
      <c r="L21" s="119" t="s">
        <v>10</v>
      </c>
      <c r="M21" s="119"/>
    </row>
    <row r="22" spans="1:13">
      <c r="A22" s="115"/>
      <c r="B22" s="29">
        <v>0.90277777777777801</v>
      </c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>
        <v>44617</v>
      </c>
      <c r="B24" s="23">
        <v>0.58333333333333304</v>
      </c>
      <c r="C24" s="116" t="s">
        <v>40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0.54166666666666696</v>
      </c>
      <c r="L24" s="119" t="s">
        <v>41</v>
      </c>
      <c r="M24" s="119"/>
    </row>
    <row r="25" spans="1:13">
      <c r="A25" s="115"/>
      <c r="B25" s="29">
        <v>0.63888888888888895</v>
      </c>
      <c r="C25" s="116"/>
      <c r="D25" s="116"/>
      <c r="E25" s="30"/>
      <c r="F25" s="117"/>
      <c r="G25" s="117"/>
      <c r="H25" s="31"/>
      <c r="I25" s="118"/>
      <c r="J25" s="118"/>
      <c r="K25" s="32">
        <v>0.66666666666666696</v>
      </c>
      <c r="L25" s="119"/>
      <c r="M25" s="119"/>
    </row>
    <row r="26" spans="1:13">
      <c r="A26" s="115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15">
        <v>44618</v>
      </c>
      <c r="B27" s="23"/>
      <c r="C27" s="116" t="s">
        <v>10</v>
      </c>
      <c r="D27" s="116"/>
      <c r="E27" s="24"/>
      <c r="F27" s="117" t="s">
        <v>10</v>
      </c>
      <c r="G27" s="117"/>
      <c r="H27" s="25"/>
      <c r="I27" s="118" t="s">
        <v>10</v>
      </c>
      <c r="J27" s="118"/>
      <c r="K27" s="49">
        <v>0.66666666666666696</v>
      </c>
      <c r="L27" s="119" t="s">
        <v>42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>
        <v>0.79166666666666696</v>
      </c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>
      <c r="A30" s="115">
        <v>44619</v>
      </c>
      <c r="B30" s="23"/>
      <c r="C30" s="116" t="s">
        <v>10</v>
      </c>
      <c r="D30" s="116"/>
      <c r="E30" s="24"/>
      <c r="F30" s="117" t="s">
        <v>10</v>
      </c>
      <c r="G30" s="117"/>
      <c r="H30" s="25">
        <v>0.75</v>
      </c>
      <c r="I30" s="118" t="s">
        <v>43</v>
      </c>
      <c r="J30" s="118"/>
      <c r="K30" s="26">
        <v>0.33333333333333298</v>
      </c>
      <c r="L30" s="119" t="s">
        <v>42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>
        <v>0.91666666666666696</v>
      </c>
      <c r="I31" s="118"/>
      <c r="J31" s="118"/>
      <c r="K31" s="50">
        <v>0.5</v>
      </c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>
      <c r="A33" s="115">
        <v>44620</v>
      </c>
      <c r="B33" s="23">
        <v>0.41666666666666702</v>
      </c>
      <c r="C33" s="116" t="s">
        <v>44</v>
      </c>
      <c r="D33" s="116"/>
      <c r="E33" s="24"/>
      <c r="F33" s="117" t="s">
        <v>10</v>
      </c>
      <c r="G33" s="117"/>
      <c r="H33" s="25">
        <v>0.33333333333333298</v>
      </c>
      <c r="I33" s="118" t="s">
        <v>43</v>
      </c>
      <c r="J33" s="118"/>
      <c r="K33" s="26"/>
      <c r="L33" s="119" t="s">
        <v>10</v>
      </c>
      <c r="M33" s="119"/>
    </row>
    <row r="34" spans="1:13">
      <c r="A34" s="115"/>
      <c r="B34" s="29">
        <v>0.625</v>
      </c>
      <c r="C34" s="116"/>
      <c r="D34" s="116"/>
      <c r="E34" s="30"/>
      <c r="F34" s="117"/>
      <c r="G34" s="117"/>
      <c r="H34" s="31">
        <v>0.45833333333333298</v>
      </c>
      <c r="I34" s="118"/>
      <c r="J34" s="118"/>
      <c r="K34" s="32"/>
      <c r="L34" s="119"/>
      <c r="M34" s="119"/>
    </row>
    <row r="35" spans="1:13">
      <c r="A35" s="115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>
        <v>44624</v>
      </c>
      <c r="B36" s="23">
        <v>0.70833333333333304</v>
      </c>
      <c r="C36" s="116" t="s">
        <v>45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0.75</v>
      </c>
      <c r="L36" s="119" t="s">
        <v>10</v>
      </c>
      <c r="M36" s="119"/>
    </row>
    <row r="37" spans="1:13">
      <c r="A37" s="115"/>
      <c r="B37" s="29">
        <v>0.91666666666666696</v>
      </c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>
      <c r="A38" s="115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>
      <c r="A39" s="115">
        <v>44626</v>
      </c>
      <c r="B39" s="23">
        <v>0.54166666666666696</v>
      </c>
      <c r="C39" s="116" t="s">
        <v>46</v>
      </c>
      <c r="D39" s="116"/>
      <c r="E39" s="24"/>
      <c r="F39" s="117" t="s">
        <v>10</v>
      </c>
      <c r="G39" s="117"/>
      <c r="H39" s="25">
        <v>0.59027777777777801</v>
      </c>
      <c r="I39" s="118" t="s">
        <v>47</v>
      </c>
      <c r="J39" s="118"/>
      <c r="K39" s="26">
        <v>0.52083333333333304</v>
      </c>
      <c r="L39" s="119" t="s">
        <v>10</v>
      </c>
      <c r="M39" s="119"/>
    </row>
    <row r="40" spans="1:13">
      <c r="A40" s="115"/>
      <c r="B40" s="29">
        <v>0.60416666666666696</v>
      </c>
      <c r="C40" s="116"/>
      <c r="D40" s="116"/>
      <c r="E40" s="30"/>
      <c r="F40" s="117"/>
      <c r="G40" s="117"/>
      <c r="H40" s="31">
        <v>0.875</v>
      </c>
      <c r="I40" s="118"/>
      <c r="J40" s="118"/>
      <c r="K40" s="50">
        <v>0.88541666666666696</v>
      </c>
      <c r="L40" s="119"/>
      <c r="M40" s="119"/>
    </row>
    <row r="41" spans="1:13">
      <c r="A41" s="115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>
      <c r="A2" s="120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>
      <c r="A3" s="115">
        <v>44627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105" t="s">
        <v>3</v>
      </c>
      <c r="L3" s="28">
        <f>D2+Sprint_5!G2+G2+J2</f>
        <v>14.683333333333353</v>
      </c>
    </row>
    <row r="4" spans="1:12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>
      <c r="A6" s="115">
        <v>44629</v>
      </c>
      <c r="B6" s="23">
        <v>0.64583333333333304</v>
      </c>
      <c r="C6" s="116" t="s">
        <v>44</v>
      </c>
      <c r="D6" s="116"/>
      <c r="E6" s="25">
        <v>0.49305555555555602</v>
      </c>
      <c r="F6" s="118" t="s">
        <v>48</v>
      </c>
      <c r="G6" s="118"/>
      <c r="H6" s="45"/>
      <c r="I6" s="119" t="s">
        <v>9</v>
      </c>
      <c r="J6" s="119"/>
    </row>
    <row r="7" spans="1:12">
      <c r="A7" s="115"/>
      <c r="B7" s="29">
        <v>0.75</v>
      </c>
      <c r="C7" s="116"/>
      <c r="D7" s="116"/>
      <c r="E7" s="31">
        <v>0.52777777777777801</v>
      </c>
      <c r="F7" s="118"/>
      <c r="G7" s="118"/>
      <c r="H7" s="32"/>
      <c r="I7" s="119"/>
      <c r="J7" s="119"/>
    </row>
    <row r="8" spans="1:12">
      <c r="A8" s="115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>
      <c r="A9" s="115">
        <v>44634</v>
      </c>
      <c r="B9" s="23">
        <v>0.33333333333333298</v>
      </c>
      <c r="C9" s="116" t="s">
        <v>9</v>
      </c>
      <c r="D9" s="116"/>
      <c r="E9" s="25">
        <v>0.33333333333333298</v>
      </c>
      <c r="F9" s="118" t="s">
        <v>49</v>
      </c>
      <c r="G9" s="118"/>
      <c r="H9" s="49"/>
      <c r="I9" s="119" t="s">
        <v>10</v>
      </c>
      <c r="J9" s="119"/>
    </row>
    <row r="10" spans="1:12">
      <c r="A10" s="115"/>
      <c r="B10" s="29">
        <v>0.41666666666666702</v>
      </c>
      <c r="C10" s="116"/>
      <c r="D10" s="116"/>
      <c r="E10" s="31">
        <v>0.41666666666666702</v>
      </c>
      <c r="F10" s="118"/>
      <c r="G10" s="118"/>
      <c r="H10" s="32"/>
      <c r="I10" s="119"/>
      <c r="J10" s="119"/>
    </row>
    <row r="11" spans="1:12">
      <c r="A11" s="115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>
      <c r="A12" s="115">
        <v>44634</v>
      </c>
      <c r="B12" s="23">
        <v>0.60763888888888895</v>
      </c>
      <c r="C12" s="116" t="s">
        <v>10</v>
      </c>
      <c r="D12" s="116"/>
      <c r="E12" s="25">
        <v>0.66666666666666696</v>
      </c>
      <c r="F12" s="118" t="s">
        <v>50</v>
      </c>
      <c r="G12" s="118"/>
      <c r="H12" s="49"/>
      <c r="I12" s="119" t="s">
        <v>10</v>
      </c>
      <c r="J12" s="119"/>
    </row>
    <row r="13" spans="1:12">
      <c r="A13" s="115"/>
      <c r="B13" s="29">
        <v>0.71875</v>
      </c>
      <c r="C13" s="116"/>
      <c r="D13" s="116"/>
      <c r="E13" s="31">
        <v>0.70833333333333304</v>
      </c>
      <c r="F13" s="118"/>
      <c r="G13" s="118"/>
      <c r="H13" s="50"/>
      <c r="I13" s="119"/>
      <c r="J13" s="119"/>
    </row>
    <row r="14" spans="1:12">
      <c r="A14" s="115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>
      <c r="A15" s="115">
        <v>44636</v>
      </c>
      <c r="B15" s="23">
        <v>0.49305555555555602</v>
      </c>
      <c r="C15" s="116" t="s">
        <v>10</v>
      </c>
      <c r="D15" s="116"/>
      <c r="E15" s="25">
        <v>0.49305555555555602</v>
      </c>
      <c r="F15" s="118" t="s">
        <v>51</v>
      </c>
      <c r="G15" s="118"/>
      <c r="H15" s="26"/>
      <c r="I15" s="119" t="s">
        <v>10</v>
      </c>
      <c r="J15" s="119"/>
    </row>
    <row r="16" spans="1:12">
      <c r="A16" s="115"/>
      <c r="B16" s="29">
        <v>0.60416666666666696</v>
      </c>
      <c r="C16" s="116"/>
      <c r="D16" s="116"/>
      <c r="E16" s="31">
        <v>0.52777777777777801</v>
      </c>
      <c r="F16" s="118"/>
      <c r="G16" s="118"/>
      <c r="H16" s="32"/>
      <c r="I16" s="119"/>
      <c r="J16" s="119"/>
    </row>
    <row r="17" spans="1:10">
      <c r="A17" s="115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>
      <c r="A18" s="115">
        <v>44638</v>
      </c>
      <c r="B18" s="23">
        <v>0.91666666666666696</v>
      </c>
      <c r="C18" s="116" t="s">
        <v>10</v>
      </c>
      <c r="D18" s="116"/>
      <c r="E18" s="25"/>
      <c r="F18" s="118" t="s">
        <v>10</v>
      </c>
      <c r="G18" s="118"/>
      <c r="H18" s="49">
        <v>0.58333333333333304</v>
      </c>
      <c r="I18" s="119" t="s">
        <v>10</v>
      </c>
      <c r="J18" s="119"/>
    </row>
    <row r="19" spans="1:10">
      <c r="A19" s="115"/>
      <c r="B19" s="29">
        <v>0.95833333333333304</v>
      </c>
      <c r="C19" s="116"/>
      <c r="D19" s="116"/>
      <c r="E19" s="31"/>
      <c r="F19" s="118"/>
      <c r="G19" s="118"/>
      <c r="H19" s="32">
        <v>0.83333333333333304</v>
      </c>
      <c r="I19" s="119"/>
      <c r="J19" s="119"/>
    </row>
    <row r="20" spans="1:10">
      <c r="A20" s="115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>
      <c r="A21" s="115">
        <v>44639</v>
      </c>
      <c r="B21" s="23">
        <v>0.84375</v>
      </c>
      <c r="C21" s="116" t="s">
        <v>10</v>
      </c>
      <c r="D21" s="116"/>
      <c r="E21" s="25"/>
      <c r="F21" s="118" t="s">
        <v>10</v>
      </c>
      <c r="G21" s="118"/>
      <c r="H21" s="26">
        <v>0.58333333333333304</v>
      </c>
      <c r="I21" s="119" t="s">
        <v>10</v>
      </c>
      <c r="J21" s="119"/>
    </row>
    <row r="22" spans="1:10">
      <c r="A22" s="115"/>
      <c r="B22" s="29">
        <v>0.91666666666666696</v>
      </c>
      <c r="C22" s="116"/>
      <c r="D22" s="116"/>
      <c r="E22" s="31"/>
      <c r="F22" s="118"/>
      <c r="G22" s="118"/>
      <c r="H22" s="50">
        <v>0.83333333333333304</v>
      </c>
      <c r="I22" s="119"/>
      <c r="J22" s="119"/>
    </row>
    <row r="23" spans="1:10">
      <c r="A23" s="115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>
      <c r="A24" s="115">
        <v>44640</v>
      </c>
      <c r="B24" s="23">
        <v>0.79166666666666696</v>
      </c>
      <c r="C24" s="116" t="s">
        <v>52</v>
      </c>
      <c r="D24" s="116"/>
      <c r="E24" s="25">
        <v>0.66666666666666696</v>
      </c>
      <c r="F24" s="118" t="s">
        <v>53</v>
      </c>
      <c r="G24" s="118"/>
      <c r="H24" s="26">
        <v>0.45833333333333298</v>
      </c>
      <c r="I24" s="119" t="s">
        <v>10</v>
      </c>
      <c r="J24" s="119"/>
    </row>
    <row r="25" spans="1:10">
      <c r="A25" s="115"/>
      <c r="B25" s="29">
        <v>0.91666666666666696</v>
      </c>
      <c r="C25" s="116"/>
      <c r="D25" s="116"/>
      <c r="E25" s="31">
        <v>0.97916666666666696</v>
      </c>
      <c r="F25" s="118"/>
      <c r="G25" s="118"/>
      <c r="H25" s="32">
        <v>0.85416666666666696</v>
      </c>
      <c r="I25" s="119"/>
      <c r="J25" s="119"/>
    </row>
    <row r="26" spans="1:10">
      <c r="A26" s="115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>
      <c r="A27" s="115"/>
      <c r="B27" s="23"/>
      <c r="C27" s="116" t="s">
        <v>10</v>
      </c>
      <c r="D27" s="116"/>
      <c r="E27" s="25"/>
      <c r="F27" s="118" t="s">
        <v>10</v>
      </c>
      <c r="G27" s="118"/>
      <c r="H27" s="49"/>
      <c r="I27" s="119" t="s">
        <v>10</v>
      </c>
      <c r="J27" s="119"/>
    </row>
    <row r="28" spans="1:10">
      <c r="A28" s="115"/>
      <c r="B28" s="29"/>
      <c r="C28" s="116"/>
      <c r="D28" s="116"/>
      <c r="E28" s="31"/>
      <c r="F28" s="118"/>
      <c r="G28" s="118"/>
      <c r="H28" s="32"/>
      <c r="I28" s="119"/>
      <c r="J28" s="119"/>
    </row>
    <row r="29" spans="1:10">
      <c r="A29" s="115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>
      <c r="A30" s="115"/>
      <c r="B30" s="23"/>
      <c r="C30" s="116" t="s">
        <v>10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>
      <c r="A31" s="115"/>
      <c r="B31" s="29"/>
      <c r="C31" s="116"/>
      <c r="D31" s="116"/>
      <c r="E31" s="31"/>
      <c r="F31" s="118"/>
      <c r="G31" s="118"/>
      <c r="H31" s="50"/>
      <c r="I31" s="119"/>
      <c r="J31" s="119"/>
    </row>
    <row r="32" spans="1:10">
      <c r="A32" s="115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>
      <c r="A33" s="115"/>
      <c r="B33" s="23"/>
      <c r="C33" s="116" t="s">
        <v>10</v>
      </c>
      <c r="D33" s="116"/>
      <c r="E33" s="25"/>
      <c r="F33" s="118" t="s">
        <v>10</v>
      </c>
      <c r="G33" s="118"/>
      <c r="H33" s="26"/>
      <c r="I33" s="119" t="s">
        <v>10</v>
      </c>
      <c r="J33" s="119"/>
    </row>
    <row r="34" spans="1:10">
      <c r="A34" s="115"/>
      <c r="B34" s="29"/>
      <c r="C34" s="116"/>
      <c r="D34" s="116"/>
      <c r="E34" s="31"/>
      <c r="F34" s="118"/>
      <c r="G34" s="118"/>
      <c r="H34" s="32"/>
      <c r="I34" s="119"/>
      <c r="J34" s="119"/>
    </row>
    <row r="35" spans="1:10">
      <c r="A35" s="115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>
      <c r="A36" s="115"/>
      <c r="B36" s="23"/>
      <c r="C36" s="116" t="s">
        <v>10</v>
      </c>
      <c r="D36" s="116"/>
      <c r="E36" s="25"/>
      <c r="F36" s="118" t="s">
        <v>10</v>
      </c>
      <c r="G36" s="118"/>
      <c r="H36" s="49"/>
      <c r="I36" s="119" t="s">
        <v>10</v>
      </c>
      <c r="J36" s="119"/>
    </row>
    <row r="37" spans="1:10">
      <c r="A37" s="115"/>
      <c r="B37" s="29"/>
      <c r="C37" s="116"/>
      <c r="D37" s="116"/>
      <c r="E37" s="31"/>
      <c r="F37" s="118"/>
      <c r="G37" s="118"/>
      <c r="H37" s="32"/>
      <c r="I37" s="119"/>
      <c r="J37" s="119"/>
    </row>
    <row r="38" spans="1:10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>
      <c r="A39" s="115"/>
      <c r="B39" s="23"/>
      <c r="C39" s="116" t="s">
        <v>10</v>
      </c>
      <c r="D39" s="116"/>
      <c r="E39" s="25"/>
      <c r="F39" s="118" t="s">
        <v>10</v>
      </c>
      <c r="G39" s="118"/>
      <c r="H39" s="26"/>
      <c r="I39" s="119" t="s">
        <v>10</v>
      </c>
      <c r="J39" s="119"/>
    </row>
    <row r="40" spans="1:10">
      <c r="A40" s="115"/>
      <c r="B40" s="29"/>
      <c r="C40" s="116"/>
      <c r="D40" s="116"/>
      <c r="E40" s="31"/>
      <c r="F40" s="118"/>
      <c r="G40" s="118"/>
      <c r="H40" s="50"/>
      <c r="I40" s="119"/>
      <c r="J40" s="119"/>
    </row>
    <row r="41" spans="1:10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>
      <c r="A2" s="120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>
      <c r="A3" s="115">
        <v>44641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99" t="s">
        <v>3</v>
      </c>
      <c r="L3" s="100">
        <f>D2+G2+J2</f>
        <v>15.79722222222224</v>
      </c>
    </row>
    <row r="4" spans="1:12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>
      <c r="A6" s="115">
        <v>44641</v>
      </c>
      <c r="B6" s="23">
        <v>0.60763888888888895</v>
      </c>
      <c r="C6" s="116" t="s">
        <v>52</v>
      </c>
      <c r="D6" s="116"/>
      <c r="E6" s="25">
        <v>0.60763888888888895</v>
      </c>
      <c r="F6" s="118" t="s">
        <v>10</v>
      </c>
      <c r="G6" s="118"/>
      <c r="H6" s="45">
        <v>0.60763888888888895</v>
      </c>
      <c r="I6" s="119" t="s">
        <v>9</v>
      </c>
      <c r="J6" s="119"/>
    </row>
    <row r="7" spans="1:12">
      <c r="A7" s="115"/>
      <c r="B7" s="29">
        <v>0.71875</v>
      </c>
      <c r="C7" s="116"/>
      <c r="D7" s="116"/>
      <c r="E7" s="31">
        <v>0.71875</v>
      </c>
      <c r="F7" s="118"/>
      <c r="G7" s="118"/>
      <c r="H7" s="32">
        <v>0.71875</v>
      </c>
      <c r="I7" s="119"/>
      <c r="J7" s="119"/>
    </row>
    <row r="8" spans="1:12">
      <c r="A8" s="115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>
      <c r="A9" s="115">
        <v>44643</v>
      </c>
      <c r="B9" s="23">
        <v>0.49305555555555602</v>
      </c>
      <c r="C9" s="116" t="s">
        <v>54</v>
      </c>
      <c r="D9" s="116"/>
      <c r="E9" s="25">
        <v>0.49305555555555602</v>
      </c>
      <c r="F9" s="118" t="s">
        <v>10</v>
      </c>
      <c r="G9" s="118"/>
      <c r="H9" s="49">
        <v>0.49305555555555602</v>
      </c>
      <c r="I9" s="119" t="s">
        <v>10</v>
      </c>
      <c r="J9" s="119"/>
    </row>
    <row r="10" spans="1:12">
      <c r="A10" s="115"/>
      <c r="B10" s="29">
        <v>0.52777777777777801</v>
      </c>
      <c r="C10" s="116"/>
      <c r="D10" s="116"/>
      <c r="E10" s="31">
        <v>0.52777777777777801</v>
      </c>
      <c r="F10" s="118"/>
      <c r="G10" s="118"/>
      <c r="H10" s="32">
        <v>0.52777777777777801</v>
      </c>
      <c r="I10" s="119"/>
      <c r="J10" s="119"/>
    </row>
    <row r="11" spans="1:12">
      <c r="A11" s="115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>
      <c r="A12" s="115">
        <v>44648</v>
      </c>
      <c r="B12" s="23">
        <v>0.33333333333333298</v>
      </c>
      <c r="C12" s="116" t="s">
        <v>55</v>
      </c>
      <c r="D12" s="116"/>
      <c r="E12" s="25">
        <v>0.33333333333333298</v>
      </c>
      <c r="F12" s="118" t="s">
        <v>10</v>
      </c>
      <c r="G12" s="118"/>
      <c r="H12" s="49">
        <v>0.33333333333333298</v>
      </c>
      <c r="I12" s="119" t="s">
        <v>10</v>
      </c>
      <c r="J12" s="119"/>
    </row>
    <row r="13" spans="1:12">
      <c r="A13" s="115"/>
      <c r="B13" s="29">
        <v>0.41666666666666702</v>
      </c>
      <c r="C13" s="116"/>
      <c r="D13" s="116"/>
      <c r="E13" s="31">
        <v>0.41666666666666702</v>
      </c>
      <c r="F13" s="118"/>
      <c r="G13" s="118"/>
      <c r="H13" s="50">
        <v>0.41666666666666702</v>
      </c>
      <c r="I13" s="119"/>
      <c r="J13" s="119"/>
    </row>
    <row r="14" spans="1:12">
      <c r="A14" s="115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>
      <c r="A15" s="115">
        <v>44648</v>
      </c>
      <c r="B15" s="23">
        <v>0.60763888888888895</v>
      </c>
      <c r="C15" s="116" t="s">
        <v>56</v>
      </c>
      <c r="D15" s="116"/>
      <c r="E15" s="25">
        <v>0.60763888888888895</v>
      </c>
      <c r="F15" s="118" t="s">
        <v>10</v>
      </c>
      <c r="G15" s="118"/>
      <c r="H15" s="26">
        <v>0.60763888888888895</v>
      </c>
      <c r="I15" s="119" t="s">
        <v>10</v>
      </c>
      <c r="J15" s="119"/>
    </row>
    <row r="16" spans="1:12">
      <c r="A16" s="115"/>
      <c r="B16" s="29">
        <v>0.71875</v>
      </c>
      <c r="C16" s="116"/>
      <c r="D16" s="116"/>
      <c r="E16" s="31">
        <v>0.71875</v>
      </c>
      <c r="F16" s="118"/>
      <c r="G16" s="118"/>
      <c r="H16" s="32">
        <v>0.71875</v>
      </c>
      <c r="I16" s="119"/>
      <c r="J16" s="119"/>
    </row>
    <row r="17" spans="1:10">
      <c r="A17" s="115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>
      <c r="A18" s="115">
        <v>44650</v>
      </c>
      <c r="B18" s="23">
        <v>0.49305555555555602</v>
      </c>
      <c r="C18" s="116" t="s">
        <v>56</v>
      </c>
      <c r="D18" s="116"/>
      <c r="E18" s="25"/>
      <c r="F18" s="118" t="s">
        <v>10</v>
      </c>
      <c r="G18" s="118"/>
      <c r="H18" s="49">
        <v>0.49305555555555602</v>
      </c>
      <c r="I18" s="119" t="s">
        <v>10</v>
      </c>
      <c r="J18" s="119"/>
    </row>
    <row r="19" spans="1:10">
      <c r="A19" s="115"/>
      <c r="B19" s="29">
        <v>0.52777777777777801</v>
      </c>
      <c r="C19" s="116"/>
      <c r="D19" s="116"/>
      <c r="E19" s="31"/>
      <c r="F19" s="118"/>
      <c r="G19" s="118"/>
      <c r="H19" s="32">
        <v>0.52777777777777801</v>
      </c>
      <c r="I19" s="119"/>
      <c r="J19" s="119"/>
    </row>
    <row r="20" spans="1:10">
      <c r="A20" s="115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>
      <c r="A21" s="115">
        <v>44652</v>
      </c>
      <c r="B21" s="23"/>
      <c r="C21" s="116" t="s">
        <v>10</v>
      </c>
      <c r="D21" s="116"/>
      <c r="E21" s="25"/>
      <c r="F21" s="118" t="s">
        <v>10</v>
      </c>
      <c r="G21" s="118"/>
      <c r="H21" s="26">
        <v>0.79166666666666696</v>
      </c>
      <c r="I21" s="119" t="s">
        <v>10</v>
      </c>
      <c r="J21" s="119"/>
    </row>
    <row r="22" spans="1:10">
      <c r="A22" s="115"/>
      <c r="B22" s="29"/>
      <c r="C22" s="116"/>
      <c r="D22" s="116"/>
      <c r="E22" s="31"/>
      <c r="F22" s="118"/>
      <c r="G22" s="118"/>
      <c r="H22" s="50">
        <v>0.91666666666666696</v>
      </c>
      <c r="I22" s="119"/>
      <c r="J22" s="119"/>
    </row>
    <row r="23" spans="1:10">
      <c r="A23" s="115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>
      <c r="A24" s="115">
        <v>44653</v>
      </c>
      <c r="B24" s="23"/>
      <c r="C24" s="116" t="s">
        <v>10</v>
      </c>
      <c r="D24" s="116"/>
      <c r="E24" s="25"/>
      <c r="F24" s="118" t="s">
        <v>10</v>
      </c>
      <c r="G24" s="118"/>
      <c r="H24" s="26">
        <v>0.33333333333333298</v>
      </c>
      <c r="I24" s="119" t="s">
        <v>10</v>
      </c>
      <c r="J24" s="119"/>
    </row>
    <row r="25" spans="1:10">
      <c r="A25" s="115"/>
      <c r="B25" s="29"/>
      <c r="C25" s="116"/>
      <c r="D25" s="116"/>
      <c r="E25" s="31"/>
      <c r="F25" s="118"/>
      <c r="G25" s="118"/>
      <c r="H25" s="32">
        <v>0.47916666666666702</v>
      </c>
      <c r="I25" s="119"/>
      <c r="J25" s="119"/>
    </row>
    <row r="26" spans="1:10">
      <c r="A26" s="115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>
      <c r="A27" s="115">
        <v>44654</v>
      </c>
      <c r="B27" s="23">
        <v>0.72916666666666696</v>
      </c>
      <c r="C27" s="116" t="s">
        <v>10</v>
      </c>
      <c r="D27" s="116"/>
      <c r="E27" s="25">
        <v>0.72916666666666696</v>
      </c>
      <c r="F27" s="118" t="s">
        <v>10</v>
      </c>
      <c r="G27" s="118"/>
      <c r="H27" s="49">
        <v>0.5</v>
      </c>
      <c r="I27" s="119" t="s">
        <v>10</v>
      </c>
      <c r="J27" s="119"/>
    </row>
    <row r="28" spans="1:10">
      <c r="A28" s="115"/>
      <c r="B28" s="29">
        <v>0.85416666666666696</v>
      </c>
      <c r="C28" s="116"/>
      <c r="D28" s="116"/>
      <c r="E28" s="31">
        <v>0.91666666666666696</v>
      </c>
      <c r="F28" s="118"/>
      <c r="G28" s="118"/>
      <c r="H28" s="32">
        <v>0.66666666666666696</v>
      </c>
      <c r="I28" s="119"/>
      <c r="J28" s="119"/>
    </row>
    <row r="29" spans="1:10">
      <c r="A29" s="115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>
      <c r="A30" s="115">
        <v>44663</v>
      </c>
      <c r="B30" s="23">
        <v>0.79166666666666696</v>
      </c>
      <c r="C30" s="116" t="s">
        <v>57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>
      <c r="A31" s="115"/>
      <c r="B31" s="29">
        <v>0.9375</v>
      </c>
      <c r="C31" s="116"/>
      <c r="D31" s="116"/>
      <c r="E31" s="31"/>
      <c r="F31" s="118"/>
      <c r="G31" s="118"/>
      <c r="H31" s="50"/>
      <c r="I31" s="119"/>
      <c r="J31" s="119"/>
    </row>
    <row r="32" spans="1:10">
      <c r="A32" s="115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>
      <c r="A33" s="115">
        <v>44664</v>
      </c>
      <c r="B33" s="23">
        <v>0.40625</v>
      </c>
      <c r="C33" s="116" t="s">
        <v>57</v>
      </c>
      <c r="D33" s="116"/>
      <c r="E33" s="25"/>
      <c r="F33" s="118" t="s">
        <v>10</v>
      </c>
      <c r="G33" s="118"/>
      <c r="H33" s="26">
        <v>0.41666666666666702</v>
      </c>
      <c r="I33" s="119" t="s">
        <v>58</v>
      </c>
      <c r="J33" s="119"/>
    </row>
    <row r="34" spans="1:10">
      <c r="A34" s="115"/>
      <c r="B34" s="29">
        <v>0.46875</v>
      </c>
      <c r="C34" s="116"/>
      <c r="D34" s="116"/>
      <c r="E34" s="31"/>
      <c r="F34" s="118"/>
      <c r="G34" s="118"/>
      <c r="H34" s="32">
        <v>0.625</v>
      </c>
      <c r="I34" s="119"/>
      <c r="J34" s="119"/>
    </row>
    <row r="35" spans="1:10">
      <c r="A35" s="115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>
      <c r="A36" s="115">
        <v>44665</v>
      </c>
      <c r="B36" s="23"/>
      <c r="C36" s="116" t="s">
        <v>10</v>
      </c>
      <c r="D36" s="116"/>
      <c r="E36" s="25"/>
      <c r="F36" s="118" t="s">
        <v>10</v>
      </c>
      <c r="G36" s="118"/>
      <c r="H36" s="49">
        <v>0.66666666666666696</v>
      </c>
      <c r="I36" s="119" t="s">
        <v>59</v>
      </c>
      <c r="J36" s="119"/>
    </row>
    <row r="37" spans="1:10">
      <c r="A37" s="115"/>
      <c r="B37" s="29"/>
      <c r="C37" s="116"/>
      <c r="D37" s="116"/>
      <c r="E37" s="31"/>
      <c r="F37" s="118"/>
      <c r="G37" s="118"/>
      <c r="H37" s="32">
        <v>0.91666666666666696</v>
      </c>
      <c r="I37" s="119"/>
      <c r="J37" s="119"/>
    </row>
    <row r="38" spans="1:10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>
      <c r="A39" s="115">
        <v>44666</v>
      </c>
      <c r="B39" s="23"/>
      <c r="C39" s="116" t="s">
        <v>10</v>
      </c>
      <c r="D39" s="116"/>
      <c r="E39" s="25"/>
      <c r="F39" s="118" t="s">
        <v>10</v>
      </c>
      <c r="G39" s="118"/>
      <c r="H39" s="26">
        <v>0.33333333333333298</v>
      </c>
      <c r="I39" s="119" t="s">
        <v>10</v>
      </c>
      <c r="J39" s="119"/>
    </row>
    <row r="40" spans="1:10">
      <c r="A40" s="115"/>
      <c r="B40" s="29"/>
      <c r="C40" s="116"/>
      <c r="D40" s="116"/>
      <c r="E40" s="31"/>
      <c r="F40" s="118"/>
      <c r="G40" s="118"/>
      <c r="H40" s="50">
        <v>0.58333333333333304</v>
      </c>
      <c r="I40" s="119"/>
      <c r="J40" s="119"/>
    </row>
    <row r="41" spans="1:10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>
      <c r="A42" s="115">
        <v>44669</v>
      </c>
      <c r="B42" s="23">
        <v>0.45833333333333298</v>
      </c>
      <c r="C42" s="116" t="s">
        <v>60</v>
      </c>
      <c r="D42" s="116"/>
      <c r="E42" s="25"/>
      <c r="F42" s="118" t="s">
        <v>10</v>
      </c>
      <c r="G42" s="118"/>
      <c r="H42" s="26"/>
      <c r="I42" s="119" t="s">
        <v>10</v>
      </c>
      <c r="J42" s="119"/>
    </row>
    <row r="43" spans="1:10">
      <c r="A43" s="115"/>
      <c r="B43" s="29">
        <v>0.47916666666666702</v>
      </c>
      <c r="C43" s="116"/>
      <c r="D43" s="116"/>
      <c r="E43" s="31"/>
      <c r="F43" s="118"/>
      <c r="G43" s="118"/>
      <c r="H43" s="32"/>
      <c r="I43" s="119"/>
      <c r="J43" s="119"/>
    </row>
    <row r="44" spans="1:10">
      <c r="A44" s="115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>
      <c r="A45" s="115"/>
      <c r="B45" s="23"/>
      <c r="C45" s="116" t="s">
        <v>10</v>
      </c>
      <c r="D45" s="116"/>
      <c r="E45" s="25"/>
      <c r="F45" s="118" t="s">
        <v>10</v>
      </c>
      <c r="G45" s="118"/>
      <c r="H45" s="49"/>
      <c r="I45" s="119" t="s">
        <v>10</v>
      </c>
      <c r="J45" s="119"/>
    </row>
    <row r="46" spans="1:10">
      <c r="A46" s="115"/>
      <c r="B46" s="29"/>
      <c r="C46" s="116"/>
      <c r="D46" s="116"/>
      <c r="E46" s="31"/>
      <c r="F46" s="118"/>
      <c r="G46" s="118"/>
      <c r="H46" s="32"/>
      <c r="I46" s="119"/>
      <c r="J46" s="119"/>
    </row>
    <row r="47" spans="1:10">
      <c r="A47" s="115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>
      <c r="A48" s="115"/>
      <c r="B48" s="23"/>
      <c r="C48" s="116" t="s">
        <v>10</v>
      </c>
      <c r="D48" s="116"/>
      <c r="E48" s="25"/>
      <c r="F48" s="118" t="s">
        <v>10</v>
      </c>
      <c r="G48" s="118"/>
      <c r="H48" s="26"/>
      <c r="I48" s="119" t="s">
        <v>10</v>
      </c>
      <c r="J48" s="119"/>
    </row>
    <row r="49" spans="1:10">
      <c r="A49" s="115"/>
      <c r="B49" s="29"/>
      <c r="C49" s="116"/>
      <c r="D49" s="116"/>
      <c r="E49" s="31"/>
      <c r="F49" s="118"/>
      <c r="G49" s="118"/>
      <c r="H49" s="50"/>
      <c r="I49" s="119"/>
      <c r="J49" s="119"/>
    </row>
    <row r="50" spans="1:10">
      <c r="A50" s="115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>
      <c r="A51" s="115"/>
      <c r="B51" s="23"/>
      <c r="C51" s="116" t="s">
        <v>10</v>
      </c>
      <c r="D51" s="116"/>
      <c r="E51" s="25"/>
      <c r="F51" s="118" t="s">
        <v>10</v>
      </c>
      <c r="G51" s="118"/>
      <c r="H51" s="26"/>
      <c r="I51" s="119" t="s">
        <v>10</v>
      </c>
      <c r="J51" s="119"/>
    </row>
    <row r="52" spans="1:10">
      <c r="A52" s="115"/>
      <c r="B52" s="29"/>
      <c r="C52" s="116"/>
      <c r="D52" s="116"/>
      <c r="E52" s="31"/>
      <c r="F52" s="118"/>
      <c r="G52" s="118"/>
      <c r="H52" s="32"/>
      <c r="I52" s="119"/>
      <c r="J52" s="119"/>
    </row>
    <row r="53" spans="1:10">
      <c r="A53" s="115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>
      <c r="A54" s="115"/>
      <c r="B54" s="23"/>
      <c r="C54" s="116" t="s">
        <v>10</v>
      </c>
      <c r="D54" s="116"/>
      <c r="E54" s="25"/>
      <c r="F54" s="118" t="s">
        <v>10</v>
      </c>
      <c r="G54" s="118"/>
      <c r="H54" s="49"/>
      <c r="I54" s="119" t="s">
        <v>10</v>
      </c>
      <c r="J54" s="119"/>
    </row>
    <row r="55" spans="1:10">
      <c r="A55" s="115"/>
      <c r="B55" s="29"/>
      <c r="C55" s="116"/>
      <c r="D55" s="116"/>
      <c r="E55" s="31"/>
      <c r="F55" s="118"/>
      <c r="G55" s="118"/>
      <c r="H55" s="32"/>
      <c r="I55" s="119"/>
      <c r="J55" s="119"/>
    </row>
    <row r="56" spans="1:10">
      <c r="A56" s="115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>
      <c r="A57" s="115"/>
      <c r="B57" s="23"/>
      <c r="C57" s="116" t="s">
        <v>10</v>
      </c>
      <c r="D57" s="116"/>
      <c r="E57" s="25"/>
      <c r="F57" s="118" t="s">
        <v>10</v>
      </c>
      <c r="G57" s="118"/>
      <c r="H57" s="26"/>
      <c r="I57" s="119" t="s">
        <v>10</v>
      </c>
      <c r="J57" s="119"/>
    </row>
    <row r="58" spans="1:10">
      <c r="A58" s="115"/>
      <c r="B58" s="29"/>
      <c r="C58" s="116"/>
      <c r="D58" s="116"/>
      <c r="E58" s="31"/>
      <c r="F58" s="118"/>
      <c r="G58" s="118"/>
      <c r="H58" s="50"/>
      <c r="I58" s="119"/>
      <c r="J58" s="119"/>
    </row>
    <row r="59" spans="1:10">
      <c r="A59" s="115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>
      <c r="A60" s="115"/>
      <c r="B60" s="23"/>
      <c r="C60" s="116" t="s">
        <v>10</v>
      </c>
      <c r="D60" s="116"/>
      <c r="E60" s="25"/>
      <c r="F60" s="118" t="s">
        <v>10</v>
      </c>
      <c r="G60" s="118"/>
      <c r="H60" s="26"/>
      <c r="I60" s="119" t="s">
        <v>10</v>
      </c>
      <c r="J60" s="119"/>
    </row>
    <row r="61" spans="1:10">
      <c r="A61" s="115"/>
      <c r="B61" s="29"/>
      <c r="C61" s="116"/>
      <c r="D61" s="116"/>
      <c r="E61" s="31"/>
      <c r="F61" s="118"/>
      <c r="G61" s="118"/>
      <c r="H61" s="32"/>
      <c r="I61" s="119"/>
      <c r="J61" s="119"/>
    </row>
    <row r="62" spans="1:10">
      <c r="A62" s="115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>
      <c r="A63" s="115"/>
      <c r="B63" s="23"/>
      <c r="C63" s="116" t="s">
        <v>10</v>
      </c>
      <c r="D63" s="116"/>
      <c r="E63" s="25"/>
      <c r="F63" s="118" t="s">
        <v>10</v>
      </c>
      <c r="G63" s="118"/>
      <c r="H63" s="49"/>
      <c r="I63" s="119" t="s">
        <v>10</v>
      </c>
      <c r="J63" s="119"/>
    </row>
    <row r="64" spans="1:10">
      <c r="A64" s="115"/>
      <c r="B64" s="29"/>
      <c r="C64" s="116"/>
      <c r="D64" s="116"/>
      <c r="E64" s="31"/>
      <c r="F64" s="118"/>
      <c r="G64" s="118"/>
      <c r="H64" s="32"/>
      <c r="I64" s="119"/>
      <c r="J64" s="119"/>
    </row>
    <row r="65" spans="1:10">
      <c r="A65" s="115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>
      <c r="A66" s="115"/>
      <c r="B66" s="23"/>
      <c r="C66" s="116" t="s">
        <v>10</v>
      </c>
      <c r="D66" s="116"/>
      <c r="E66" s="25"/>
      <c r="F66" s="118" t="s">
        <v>10</v>
      </c>
      <c r="G66" s="118"/>
      <c r="H66" s="26"/>
      <c r="I66" s="119" t="s">
        <v>10</v>
      </c>
      <c r="J66" s="119"/>
    </row>
    <row r="67" spans="1:10">
      <c r="A67" s="115"/>
      <c r="B67" s="29"/>
      <c r="C67" s="116"/>
      <c r="D67" s="116"/>
      <c r="E67" s="31"/>
      <c r="F67" s="118"/>
      <c r="G67" s="118"/>
      <c r="H67" s="50"/>
      <c r="I67" s="119"/>
      <c r="J67" s="119"/>
    </row>
    <row r="68" spans="1:10">
      <c r="A68" s="115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>
      <c r="A69" s="115"/>
      <c r="B69" s="23"/>
      <c r="C69" s="116" t="s">
        <v>10</v>
      </c>
      <c r="D69" s="116"/>
      <c r="E69" s="25"/>
      <c r="F69" s="118" t="s">
        <v>10</v>
      </c>
      <c r="G69" s="118"/>
      <c r="H69" s="26"/>
      <c r="I69" s="119" t="s">
        <v>10</v>
      </c>
      <c r="J69" s="119"/>
    </row>
    <row r="70" spans="1:10">
      <c r="A70" s="115"/>
      <c r="B70" s="29"/>
      <c r="C70" s="116"/>
      <c r="D70" s="116"/>
      <c r="E70" s="31"/>
      <c r="F70" s="118"/>
      <c r="G70" s="118"/>
      <c r="H70" s="32"/>
      <c r="I70" s="119"/>
      <c r="J70" s="119"/>
    </row>
    <row r="71" spans="1:10">
      <c r="A71" s="115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>
      <c r="A72" s="115"/>
      <c r="B72" s="23"/>
      <c r="C72" s="116" t="s">
        <v>10</v>
      </c>
      <c r="D72" s="116"/>
      <c r="E72" s="25"/>
      <c r="F72" s="118" t="s">
        <v>10</v>
      </c>
      <c r="G72" s="118"/>
      <c r="H72" s="49"/>
      <c r="I72" s="119" t="s">
        <v>10</v>
      </c>
      <c r="J72" s="119"/>
    </row>
    <row r="73" spans="1:10">
      <c r="A73" s="115"/>
      <c r="B73" s="29"/>
      <c r="C73" s="116"/>
      <c r="D73" s="116"/>
      <c r="E73" s="31"/>
      <c r="F73" s="118"/>
      <c r="G73" s="118"/>
      <c r="H73" s="32"/>
      <c r="I73" s="119"/>
      <c r="J73" s="119"/>
    </row>
    <row r="74" spans="1:10">
      <c r="A74" s="115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>
      <c r="A75" s="115"/>
      <c r="B75" s="23"/>
      <c r="C75" s="116" t="s">
        <v>10</v>
      </c>
      <c r="D75" s="116"/>
      <c r="E75" s="25"/>
      <c r="F75" s="118" t="s">
        <v>10</v>
      </c>
      <c r="G75" s="118"/>
      <c r="H75" s="26"/>
      <c r="I75" s="119" t="s">
        <v>10</v>
      </c>
      <c r="J75" s="119"/>
    </row>
    <row r="76" spans="1:10">
      <c r="A76" s="115"/>
      <c r="B76" s="29"/>
      <c r="C76" s="116"/>
      <c r="D76" s="116"/>
      <c r="E76" s="31"/>
      <c r="F76" s="118"/>
      <c r="G76" s="118"/>
      <c r="H76" s="50"/>
      <c r="I76" s="119"/>
      <c r="J76" s="119"/>
    </row>
    <row r="77" spans="1:10">
      <c r="A77" s="115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>
      <c r="A3" s="115">
        <v>44641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>
        <v>0.33333333333333298</v>
      </c>
      <c r="L3" s="119" t="s">
        <v>37</v>
      </c>
      <c r="M3" s="119"/>
      <c r="N3" s="27" t="s">
        <v>3</v>
      </c>
      <c r="O3" s="28">
        <f>D2+G2+J2+M2</f>
        <v>17.40138888888891</v>
      </c>
    </row>
    <row r="4" spans="1:15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44641</v>
      </c>
      <c r="B6" s="23">
        <v>0.60763888888888895</v>
      </c>
      <c r="C6" s="116" t="s">
        <v>52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15">
        <v>44643</v>
      </c>
      <c r="B9" s="23">
        <v>0.49305555555555602</v>
      </c>
      <c r="C9" s="116" t="s">
        <v>54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>
      <c r="A12" s="115">
        <v>44648</v>
      </c>
      <c r="B12" s="23">
        <v>0.33333333333333298</v>
      </c>
      <c r="C12" s="116" t="s">
        <v>55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>
      <c r="A13" s="115"/>
      <c r="B13" s="29">
        <v>0.41666666666666702</v>
      </c>
      <c r="C13" s="116"/>
      <c r="D13" s="116"/>
      <c r="E13" s="30"/>
      <c r="F13" s="117"/>
      <c r="G13" s="117"/>
      <c r="H13" s="31">
        <v>0.41666666666666702</v>
      </c>
      <c r="I13" s="118"/>
      <c r="J13" s="118"/>
      <c r="K13" s="50">
        <v>0.41666666666666702</v>
      </c>
      <c r="L13" s="119"/>
      <c r="M13" s="119"/>
    </row>
    <row r="14" spans="1:15">
      <c r="A14" s="115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>
      <c r="A15" s="115">
        <v>44648</v>
      </c>
      <c r="B15" s="23">
        <v>0.60763888888888895</v>
      </c>
      <c r="C15" s="116" t="s">
        <v>56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>
      <c r="A16" s="115"/>
      <c r="B16" s="29">
        <v>0.71875</v>
      </c>
      <c r="C16" s="116"/>
      <c r="D16" s="116"/>
      <c r="E16" s="30"/>
      <c r="F16" s="117"/>
      <c r="G16" s="117"/>
      <c r="H16" s="31">
        <v>0.71875</v>
      </c>
      <c r="I16" s="118"/>
      <c r="J16" s="118"/>
      <c r="K16" s="32">
        <v>0.71875</v>
      </c>
      <c r="L16" s="119"/>
      <c r="M16" s="119"/>
    </row>
    <row r="17" spans="1:1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>
      <c r="A18" s="115">
        <v>44650</v>
      </c>
      <c r="B18" s="23">
        <v>0.49305555555555602</v>
      </c>
      <c r="C18" s="116" t="s">
        <v>56</v>
      </c>
      <c r="D18" s="116"/>
      <c r="E18" s="24"/>
      <c r="F18" s="117" t="s">
        <v>10</v>
      </c>
      <c r="G18" s="117"/>
      <c r="H18" s="25"/>
      <c r="I18" s="118" t="s">
        <v>10</v>
      </c>
      <c r="J18" s="118"/>
      <c r="K18" s="49">
        <v>0.49305555555555602</v>
      </c>
      <c r="L18" s="119" t="s">
        <v>10</v>
      </c>
      <c r="M18" s="119"/>
    </row>
    <row r="19" spans="1:13">
      <c r="A19" s="115"/>
      <c r="B19" s="29">
        <v>0.52777777777777801</v>
      </c>
      <c r="C19" s="116"/>
      <c r="D19" s="116"/>
      <c r="E19" s="30"/>
      <c r="F19" s="117"/>
      <c r="G19" s="117"/>
      <c r="H19" s="31"/>
      <c r="I19" s="118"/>
      <c r="J19" s="118"/>
      <c r="K19" s="32">
        <v>0.52777777777777801</v>
      </c>
      <c r="L19" s="119"/>
      <c r="M19" s="119"/>
    </row>
    <row r="20" spans="1:1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>
      <c r="A21" s="115">
        <v>44652</v>
      </c>
      <c r="B21" s="23"/>
      <c r="C21" s="116" t="s">
        <v>10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>
        <v>0.79166666666666696</v>
      </c>
      <c r="L21" s="119" t="s">
        <v>10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0.91666666666666696</v>
      </c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>
      <c r="A24" s="115">
        <v>44653</v>
      </c>
      <c r="B24" s="23"/>
      <c r="C24" s="116" t="s">
        <v>10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0.33333333333333298</v>
      </c>
      <c r="L24" s="119" t="s">
        <v>10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0.47916666666666702</v>
      </c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>
      <c r="A27" s="115">
        <v>44654</v>
      </c>
      <c r="B27" s="23">
        <v>0.72916666666666696</v>
      </c>
      <c r="C27" s="116" t="s">
        <v>10</v>
      </c>
      <c r="D27" s="116"/>
      <c r="E27" s="24"/>
      <c r="F27" s="117" t="s">
        <v>10</v>
      </c>
      <c r="G27" s="117"/>
      <c r="H27" s="25">
        <v>0.72916666666666696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>
      <c r="A28" s="115"/>
      <c r="B28" s="29">
        <v>0.85416666666666696</v>
      </c>
      <c r="C28" s="116"/>
      <c r="D28" s="116"/>
      <c r="E28" s="30"/>
      <c r="F28" s="117"/>
      <c r="G28" s="117"/>
      <c r="H28" s="31">
        <v>0.9375</v>
      </c>
      <c r="I28" s="118"/>
      <c r="J28" s="118"/>
      <c r="K28" s="32">
        <v>0.66666666666666696</v>
      </c>
      <c r="L28" s="119"/>
      <c r="M28" s="119"/>
    </row>
    <row r="29" spans="1:13">
      <c r="A29" s="115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>
      <c r="A30" s="115">
        <v>44663</v>
      </c>
      <c r="B30" s="23">
        <v>0.79166666666666696</v>
      </c>
      <c r="C30" s="116" t="s">
        <v>57</v>
      </c>
      <c r="D30" s="116"/>
      <c r="E30" s="24"/>
      <c r="F30" s="117" t="s">
        <v>10</v>
      </c>
      <c r="G30" s="117"/>
      <c r="H30" s="25"/>
      <c r="I30" s="118" t="s">
        <v>9</v>
      </c>
      <c r="J30" s="118"/>
      <c r="K30" s="26"/>
      <c r="L30" s="119" t="s">
        <v>10</v>
      </c>
      <c r="M30" s="119"/>
    </row>
    <row r="31" spans="1:13">
      <c r="A31" s="115"/>
      <c r="B31" s="29">
        <v>0.9375</v>
      </c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>
        <v>44664</v>
      </c>
      <c r="B33" s="23">
        <v>0.40625</v>
      </c>
      <c r="C33" s="116" t="s">
        <v>57</v>
      </c>
      <c r="D33" s="116"/>
      <c r="E33" s="24"/>
      <c r="F33" s="117" t="s">
        <v>10</v>
      </c>
      <c r="G33" s="117"/>
      <c r="H33" s="25"/>
      <c r="I33" s="118" t="s">
        <v>9</v>
      </c>
      <c r="J33" s="118"/>
      <c r="K33" s="26">
        <v>0.41666666666666702</v>
      </c>
      <c r="L33" s="119" t="s">
        <v>58</v>
      </c>
      <c r="M33" s="119"/>
    </row>
    <row r="34" spans="1:13">
      <c r="A34" s="115"/>
      <c r="B34" s="29">
        <v>0.59375</v>
      </c>
      <c r="C34" s="116"/>
      <c r="D34" s="116"/>
      <c r="E34" s="30"/>
      <c r="F34" s="117"/>
      <c r="G34" s="117"/>
      <c r="H34" s="31"/>
      <c r="I34" s="118"/>
      <c r="J34" s="118"/>
      <c r="K34" s="32">
        <v>0.625</v>
      </c>
      <c r="L34" s="119"/>
      <c r="M34" s="119"/>
    </row>
    <row r="35" spans="1:13">
      <c r="A35" s="115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>
      <c r="A36" s="115">
        <v>44665</v>
      </c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0.66666666666666696</v>
      </c>
      <c r="L36" s="119" t="s">
        <v>59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>
      <c r="A39" s="115">
        <v>44666</v>
      </c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>
        <v>0.33333333333333298</v>
      </c>
      <c r="L39" s="119" t="s">
        <v>10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>
        <v>0.58333333333333304</v>
      </c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>
      <c r="A42" s="115">
        <v>44669</v>
      </c>
      <c r="B42" s="23">
        <v>0.45833333333333298</v>
      </c>
      <c r="C42" s="116" t="s">
        <v>60</v>
      </c>
      <c r="D42" s="116"/>
      <c r="E42" s="24"/>
      <c r="F42" s="117" t="s">
        <v>10</v>
      </c>
      <c r="G42" s="117"/>
      <c r="H42" s="25">
        <v>0.41666666666666702</v>
      </c>
      <c r="I42" s="118" t="s">
        <v>10</v>
      </c>
      <c r="J42" s="118"/>
      <c r="K42" s="26"/>
      <c r="L42" s="119" t="s">
        <v>10</v>
      </c>
      <c r="M42" s="119"/>
    </row>
    <row r="43" spans="1:13">
      <c r="A43" s="115"/>
      <c r="B43" s="29">
        <v>0.52083333333333304</v>
      </c>
      <c r="C43" s="116"/>
      <c r="D43" s="116"/>
      <c r="E43" s="30"/>
      <c r="F43" s="117"/>
      <c r="G43" s="117"/>
      <c r="H43" s="31">
        <v>0.66666666666666696</v>
      </c>
      <c r="I43" s="118"/>
      <c r="J43" s="118"/>
      <c r="K43" s="50"/>
      <c r="L43" s="119"/>
      <c r="M43" s="119"/>
    </row>
    <row r="44" spans="1:13">
      <c r="A44" s="115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>
        <v>44676</v>
      </c>
      <c r="B45" s="23">
        <v>0.33333333333333298</v>
      </c>
      <c r="C45" s="116" t="s">
        <v>61</v>
      </c>
      <c r="D45" s="116"/>
      <c r="E45" s="24"/>
      <c r="F45" s="117" t="s">
        <v>10</v>
      </c>
      <c r="G45" s="117"/>
      <c r="H45" s="25">
        <v>0.33333333333333298</v>
      </c>
      <c r="I45" s="118" t="s">
        <v>10</v>
      </c>
      <c r="J45" s="118"/>
      <c r="K45" s="26"/>
      <c r="L45" s="119" t="s">
        <v>10</v>
      </c>
      <c r="M45" s="119"/>
    </row>
    <row r="46" spans="1:13">
      <c r="A46" s="115"/>
      <c r="B46" s="29">
        <v>0.41666666666666702</v>
      </c>
      <c r="C46" s="116"/>
      <c r="D46" s="116"/>
      <c r="E46" s="30"/>
      <c r="F46" s="117"/>
      <c r="G46" s="117"/>
      <c r="H46" s="31">
        <v>0.41666666666666702</v>
      </c>
      <c r="I46" s="118"/>
      <c r="J46" s="118"/>
      <c r="K46" s="50"/>
      <c r="L46" s="119"/>
      <c r="M46" s="119"/>
    </row>
    <row r="47" spans="1:13">
      <c r="A47" s="115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>
        <v>44676</v>
      </c>
      <c r="B48" s="23">
        <v>0.60763888888888895</v>
      </c>
      <c r="C48" s="116" t="s">
        <v>57</v>
      </c>
      <c r="D48" s="116"/>
      <c r="E48" s="24"/>
      <c r="F48" s="117" t="s">
        <v>10</v>
      </c>
      <c r="G48" s="117"/>
      <c r="H48" s="25">
        <v>0.60763888888888895</v>
      </c>
      <c r="I48" s="118" t="s">
        <v>10</v>
      </c>
      <c r="J48" s="118"/>
      <c r="K48" s="26"/>
      <c r="L48" s="119" t="s">
        <v>10</v>
      </c>
      <c r="M48" s="119"/>
    </row>
    <row r="49" spans="1:13">
      <c r="A49" s="115"/>
      <c r="B49" s="29">
        <v>0.71875</v>
      </c>
      <c r="C49" s="116"/>
      <c r="D49" s="116"/>
      <c r="E49" s="30"/>
      <c r="F49" s="117"/>
      <c r="G49" s="117"/>
      <c r="H49" s="31">
        <v>0.71875</v>
      </c>
      <c r="I49" s="118"/>
      <c r="J49" s="118"/>
      <c r="K49" s="50"/>
      <c r="L49" s="119"/>
      <c r="M49" s="119"/>
    </row>
    <row r="50" spans="1:13">
      <c r="A50" s="115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>
        <v>44678</v>
      </c>
      <c r="B51" s="23">
        <v>0.49305555555555602</v>
      </c>
      <c r="C51" s="116" t="s">
        <v>62</v>
      </c>
      <c r="D51" s="116"/>
      <c r="E51" s="24"/>
      <c r="F51" s="117" t="s">
        <v>10</v>
      </c>
      <c r="G51" s="117"/>
      <c r="H51" s="25">
        <v>0.49305555555555602</v>
      </c>
      <c r="I51" s="118" t="s">
        <v>10</v>
      </c>
      <c r="J51" s="118"/>
      <c r="K51" s="26"/>
      <c r="L51" s="119" t="s">
        <v>10</v>
      </c>
      <c r="M51" s="119"/>
    </row>
    <row r="52" spans="1:13">
      <c r="A52" s="115"/>
      <c r="B52" s="29">
        <v>0.52777777777777801</v>
      </c>
      <c r="C52" s="116"/>
      <c r="D52" s="116"/>
      <c r="E52" s="30"/>
      <c r="F52" s="117"/>
      <c r="G52" s="117"/>
      <c r="H52" s="31">
        <v>0.52777777777777801</v>
      </c>
      <c r="I52" s="118"/>
      <c r="J52" s="118"/>
      <c r="K52" s="50"/>
      <c r="L52" s="119"/>
      <c r="M52" s="119"/>
    </row>
    <row r="53" spans="1:13">
      <c r="A53" s="115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>
        <v>44682</v>
      </c>
      <c r="B54" s="23">
        <v>0.72916666666666696</v>
      </c>
      <c r="C54" s="116" t="s">
        <v>63</v>
      </c>
      <c r="D54" s="116"/>
      <c r="E54" s="24">
        <v>0.71875</v>
      </c>
      <c r="F54" s="117" t="s">
        <v>64</v>
      </c>
      <c r="G54" s="117"/>
      <c r="H54" s="25">
        <v>0.5</v>
      </c>
      <c r="I54" s="118" t="s">
        <v>10</v>
      </c>
      <c r="J54" s="118"/>
      <c r="K54" s="26"/>
      <c r="L54" s="119" t="s">
        <v>10</v>
      </c>
      <c r="M54" s="119"/>
    </row>
    <row r="55" spans="1:13">
      <c r="A55" s="115"/>
      <c r="B55" s="29">
        <v>0.97916666666666696</v>
      </c>
      <c r="C55" s="116"/>
      <c r="D55" s="116"/>
      <c r="E55" s="30">
        <v>0.84375</v>
      </c>
      <c r="F55" s="117"/>
      <c r="G55" s="117"/>
      <c r="H55" s="31">
        <v>0.83333333333333304</v>
      </c>
      <c r="I55" s="118"/>
      <c r="J55" s="118"/>
      <c r="K55" s="50"/>
      <c r="L55" s="119"/>
      <c r="M55" s="119"/>
    </row>
    <row r="56" spans="1:13">
      <c r="A56" s="115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10</v>
      </c>
      <c r="D57" s="116"/>
      <c r="E57" s="24"/>
      <c r="F57" s="117" t="s">
        <v>10</v>
      </c>
      <c r="G57" s="117"/>
      <c r="H57" s="25"/>
      <c r="I57" s="118" t="s">
        <v>10</v>
      </c>
      <c r="J57" s="118"/>
      <c r="K57" s="26"/>
      <c r="L57" s="119" t="s">
        <v>10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>
      <c r="A3" s="115">
        <v>44683</v>
      </c>
      <c r="B3" s="23">
        <v>0.33333333333333298</v>
      </c>
      <c r="C3" s="116" t="s">
        <v>65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20.218750000000021</v>
      </c>
    </row>
    <row r="4" spans="1:15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44683</v>
      </c>
      <c r="B6" s="23">
        <v>0.41666666666666702</v>
      </c>
      <c r="C6" s="116" t="s">
        <v>66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0.60416666666666696</v>
      </c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/>
      <c r="B9" s="23">
        <v>0.60416666666666696</v>
      </c>
      <c r="C9" s="116" t="s">
        <v>9</v>
      </c>
      <c r="D9" s="116"/>
      <c r="E9" s="24"/>
      <c r="F9" s="117" t="s">
        <v>9</v>
      </c>
      <c r="G9" s="117"/>
      <c r="H9" s="25">
        <v>0.60416666666666696</v>
      </c>
      <c r="I9" s="118" t="s">
        <v>9</v>
      </c>
      <c r="J9" s="118"/>
      <c r="K9" s="49">
        <v>0.60416666666666696</v>
      </c>
      <c r="L9" s="119" t="s">
        <v>9</v>
      </c>
      <c r="M9" s="119"/>
    </row>
    <row r="10" spans="1:15">
      <c r="A10" s="115"/>
      <c r="B10" s="29">
        <v>0.60486111111111096</v>
      </c>
      <c r="C10" s="116"/>
      <c r="D10" s="116"/>
      <c r="E10" s="30"/>
      <c r="F10" s="117"/>
      <c r="G10" s="117"/>
      <c r="H10" s="31">
        <v>0.60555555555555496</v>
      </c>
      <c r="I10" s="118"/>
      <c r="J10" s="118"/>
      <c r="K10" s="32">
        <v>0.61736111111111103</v>
      </c>
      <c r="L10" s="119"/>
      <c r="M10" s="119"/>
    </row>
    <row r="11" spans="1:15">
      <c r="A11" s="115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>
      <c r="A12" s="115">
        <v>44683</v>
      </c>
      <c r="B12" s="23">
        <v>0.56597222222222199</v>
      </c>
      <c r="C12" s="116" t="s">
        <v>9</v>
      </c>
      <c r="D12" s="116"/>
      <c r="E12" s="24">
        <v>0.56597222222222199</v>
      </c>
      <c r="F12" s="117" t="s">
        <v>9</v>
      </c>
      <c r="G12" s="117"/>
      <c r="H12" s="25">
        <v>0.56597222222222199</v>
      </c>
      <c r="I12" s="118" t="s">
        <v>9</v>
      </c>
      <c r="J12" s="118"/>
      <c r="K12" s="49">
        <v>0.56597222222222199</v>
      </c>
      <c r="L12" s="119" t="s">
        <v>9</v>
      </c>
      <c r="M12" s="119"/>
    </row>
    <row r="13" spans="1:15">
      <c r="A13" s="115"/>
      <c r="B13" s="29">
        <v>0.71875</v>
      </c>
      <c r="C13" s="116"/>
      <c r="D13" s="116"/>
      <c r="E13" s="30">
        <v>0.71875</v>
      </c>
      <c r="F13" s="117"/>
      <c r="G13" s="117"/>
      <c r="H13" s="31">
        <v>0.71875</v>
      </c>
      <c r="I13" s="118"/>
      <c r="J13" s="118"/>
      <c r="K13" s="50">
        <v>0.71875</v>
      </c>
      <c r="L13" s="119"/>
      <c r="M13" s="119"/>
    </row>
    <row r="14" spans="1:15">
      <c r="A14" s="115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>
      <c r="A15" s="115">
        <v>44689</v>
      </c>
      <c r="B15" s="23">
        <v>0.83333333333333304</v>
      </c>
      <c r="C15" s="116" t="s">
        <v>9</v>
      </c>
      <c r="D15" s="116"/>
      <c r="E15" s="24">
        <v>0.83333333333333304</v>
      </c>
      <c r="F15" s="117" t="s">
        <v>9</v>
      </c>
      <c r="G15" s="117"/>
      <c r="H15" s="25"/>
      <c r="I15" s="118" t="s">
        <v>9</v>
      </c>
      <c r="J15" s="118"/>
      <c r="K15" s="49">
        <v>0.83333333333333304</v>
      </c>
      <c r="L15" s="148" t="s">
        <v>9</v>
      </c>
      <c r="M15" s="148"/>
    </row>
    <row r="16" spans="1:15">
      <c r="A16" s="115"/>
      <c r="B16" s="29">
        <v>0.91666666666666696</v>
      </c>
      <c r="C16" s="116"/>
      <c r="D16" s="116"/>
      <c r="E16" s="30">
        <v>0.91666666666666696</v>
      </c>
      <c r="F16" s="117"/>
      <c r="G16" s="117"/>
      <c r="H16" s="31"/>
      <c r="I16" s="118"/>
      <c r="J16" s="118"/>
      <c r="K16" s="50">
        <v>0.91666666666666696</v>
      </c>
      <c r="L16" s="148"/>
      <c r="M16" s="148"/>
    </row>
    <row r="17" spans="1:13">
      <c r="A17" s="115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>
      <c r="A18" s="115">
        <v>44690</v>
      </c>
      <c r="B18" s="23">
        <v>0.33333333333333298</v>
      </c>
      <c r="C18" s="116" t="s">
        <v>9</v>
      </c>
      <c r="D18" s="116"/>
      <c r="E18" s="24">
        <v>0.33333333333333298</v>
      </c>
      <c r="F18" s="117" t="s">
        <v>9</v>
      </c>
      <c r="G18" s="117"/>
      <c r="H18" s="25">
        <v>0.33333333333333298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>
      <c r="A19" s="115"/>
      <c r="B19" s="29">
        <v>0.41666666666666702</v>
      </c>
      <c r="C19" s="116"/>
      <c r="D19" s="116"/>
      <c r="E19" s="30">
        <v>0.41666666666666702</v>
      </c>
      <c r="F19" s="117"/>
      <c r="G19" s="117"/>
      <c r="H19" s="31">
        <v>0.41666666666666702</v>
      </c>
      <c r="I19" s="118"/>
      <c r="J19" s="118"/>
      <c r="K19" s="50">
        <v>0.41666666666666702</v>
      </c>
      <c r="L19" s="119"/>
      <c r="M19" s="119"/>
    </row>
    <row r="20" spans="1:13">
      <c r="A20" s="115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>
      <c r="A21" s="115">
        <v>44690</v>
      </c>
      <c r="B21" s="23">
        <v>0.56597222222222199</v>
      </c>
      <c r="C21" s="116" t="s">
        <v>9</v>
      </c>
      <c r="D21" s="116"/>
      <c r="E21" s="24">
        <v>0.56597222222222199</v>
      </c>
      <c r="F21" s="117" t="s">
        <v>9</v>
      </c>
      <c r="G21" s="117"/>
      <c r="H21" s="25">
        <v>0.64583333333333304</v>
      </c>
      <c r="I21" s="118" t="s">
        <v>9</v>
      </c>
      <c r="J21" s="118"/>
      <c r="K21" s="26">
        <v>0.56597222222222199</v>
      </c>
      <c r="L21" s="119" t="s">
        <v>9</v>
      </c>
      <c r="M21" s="119"/>
    </row>
    <row r="22" spans="1:13">
      <c r="A22" s="115"/>
      <c r="B22" s="29">
        <v>0.71875</v>
      </c>
      <c r="C22" s="116"/>
      <c r="D22" s="116"/>
      <c r="E22" s="30">
        <v>0.71875</v>
      </c>
      <c r="F22" s="117"/>
      <c r="G22" s="117"/>
      <c r="H22" s="31">
        <v>0.71875</v>
      </c>
      <c r="I22" s="118"/>
      <c r="J22" s="118"/>
      <c r="K22" s="32">
        <v>0.71875</v>
      </c>
      <c r="L22" s="119"/>
      <c r="M22" s="119"/>
    </row>
    <row r="23" spans="1:13">
      <c r="A23" s="115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>
      <c r="A24" s="115">
        <v>44692</v>
      </c>
      <c r="B24" s="23">
        <v>0.49305555555555602</v>
      </c>
      <c r="C24" s="116" t="s">
        <v>9</v>
      </c>
      <c r="D24" s="116"/>
      <c r="E24" s="24">
        <v>0.49305555555555602</v>
      </c>
      <c r="F24" s="117" t="s">
        <v>9</v>
      </c>
      <c r="G24" s="117"/>
      <c r="H24" s="25">
        <v>0.49305555555555602</v>
      </c>
      <c r="I24" s="118" t="s">
        <v>9</v>
      </c>
      <c r="J24" s="118"/>
      <c r="K24" s="26">
        <v>0.49305555555555602</v>
      </c>
      <c r="L24" s="119" t="s">
        <v>9</v>
      </c>
      <c r="M24" s="119"/>
    </row>
    <row r="25" spans="1:13">
      <c r="A25" s="115"/>
      <c r="B25" s="29">
        <v>0.52777777777777801</v>
      </c>
      <c r="C25" s="116"/>
      <c r="D25" s="116"/>
      <c r="E25" s="30">
        <v>0.52777777777777801</v>
      </c>
      <c r="F25" s="117"/>
      <c r="G25" s="117"/>
      <c r="H25" s="31">
        <v>0.52777777777777801</v>
      </c>
      <c r="I25" s="118"/>
      <c r="J25" s="118"/>
      <c r="K25" s="50">
        <v>0.52777777777777801</v>
      </c>
      <c r="L25" s="119"/>
      <c r="M25" s="119"/>
    </row>
    <row r="26" spans="1:13">
      <c r="A26" s="115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>
      <c r="A27" s="115">
        <v>44696</v>
      </c>
      <c r="B27" s="23">
        <v>0.91666666666666696</v>
      </c>
      <c r="C27" s="116" t="s">
        <v>9</v>
      </c>
      <c r="D27" s="116"/>
      <c r="E27" s="24">
        <v>0.91666666666666696</v>
      </c>
      <c r="F27" s="117" t="s">
        <v>9</v>
      </c>
      <c r="G27" s="117"/>
      <c r="H27" s="25">
        <v>0.79166666666666696</v>
      </c>
      <c r="I27" s="118" t="s">
        <v>27</v>
      </c>
      <c r="J27" s="118"/>
      <c r="K27" s="49">
        <v>0.79166666666666696</v>
      </c>
      <c r="L27" s="119" t="s">
        <v>67</v>
      </c>
      <c r="M27" s="119"/>
    </row>
    <row r="28" spans="1:13">
      <c r="A28" s="115"/>
      <c r="B28" s="29">
        <v>0.95833333333333304</v>
      </c>
      <c r="C28" s="116"/>
      <c r="D28" s="116"/>
      <c r="E28" s="30">
        <v>0.95833333333333304</v>
      </c>
      <c r="F28" s="117"/>
      <c r="G28" s="117"/>
      <c r="H28" s="31">
        <v>0.95833333333333304</v>
      </c>
      <c r="I28" s="118"/>
      <c r="J28" s="118"/>
      <c r="K28" s="32">
        <v>0.95833333333333304</v>
      </c>
      <c r="L28" s="119"/>
      <c r="M28" s="119"/>
    </row>
    <row r="29" spans="1:13">
      <c r="A29" s="115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>
      <c r="A3" s="115">
        <v>44697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24.114583333333357</v>
      </c>
    </row>
    <row r="4" spans="1:15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44697</v>
      </c>
      <c r="B6" s="23">
        <v>0.60416666666666696</v>
      </c>
      <c r="C6" s="116" t="s">
        <v>9</v>
      </c>
      <c r="D6" s="116"/>
      <c r="E6" s="24">
        <v>0.60416666666666696</v>
      </c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0.71875</v>
      </c>
      <c r="C7" s="116"/>
      <c r="D7" s="116"/>
      <c r="E7" s="30">
        <v>0.71875</v>
      </c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>
        <v>44699</v>
      </c>
      <c r="B9" s="23">
        <v>0.49305555555555602</v>
      </c>
      <c r="C9" s="116" t="s">
        <v>9</v>
      </c>
      <c r="D9" s="116"/>
      <c r="E9" s="24">
        <v>0.49305555555555602</v>
      </c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>
      <c r="A10" s="115"/>
      <c r="B10" s="29">
        <v>0.52777777777777801</v>
      </c>
      <c r="C10" s="116"/>
      <c r="D10" s="116"/>
      <c r="E10" s="30">
        <v>0.52777777777777801</v>
      </c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>
        <v>44704</v>
      </c>
      <c r="B12" s="23">
        <v>0.33333333333333298</v>
      </c>
      <c r="C12" s="116" t="s">
        <v>9</v>
      </c>
      <c r="D12" s="116"/>
      <c r="E12" s="24">
        <v>0.33333333333333298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>
        <v>0.41666666666666702</v>
      </c>
      <c r="C13" s="116"/>
      <c r="D13" s="116"/>
      <c r="E13" s="30">
        <v>0.41666666666666702</v>
      </c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>
        <v>44704</v>
      </c>
      <c r="B15" s="23">
        <v>0.60416666666666696</v>
      </c>
      <c r="C15" s="116" t="s">
        <v>9</v>
      </c>
      <c r="D15" s="116"/>
      <c r="E15" s="24">
        <v>0.60416666666666696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>
        <v>0.71875</v>
      </c>
      <c r="C16" s="116"/>
      <c r="D16" s="116"/>
      <c r="E16" s="30">
        <v>0.71875</v>
      </c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>
        <v>44706</v>
      </c>
      <c r="B18" s="23">
        <v>0.49305555555555602</v>
      </c>
      <c r="C18" s="116" t="s">
        <v>9</v>
      </c>
      <c r="D18" s="116"/>
      <c r="E18" s="24">
        <v>0.49305555555555602</v>
      </c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>
        <v>0.52777777777777801</v>
      </c>
      <c r="C19" s="116"/>
      <c r="D19" s="116"/>
      <c r="E19" s="30">
        <v>0.52777777777777801</v>
      </c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>
        <v>44711</v>
      </c>
      <c r="B21" s="23">
        <v>0.33333333333333298</v>
      </c>
      <c r="C21" s="116" t="s">
        <v>9</v>
      </c>
      <c r="D21" s="116"/>
      <c r="E21" s="24">
        <v>0.33333333333333298</v>
      </c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>
        <v>44711</v>
      </c>
      <c r="B24" s="23">
        <v>0.60416666666666696</v>
      </c>
      <c r="C24" s="116" t="s">
        <v>9</v>
      </c>
      <c r="D24" s="116"/>
      <c r="E24" s="24">
        <v>0.60416666666666696</v>
      </c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>
        <v>0.71875</v>
      </c>
      <c r="C25" s="116"/>
      <c r="D25" s="116"/>
      <c r="E25" s="30">
        <v>0.71875</v>
      </c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>
        <v>44713</v>
      </c>
      <c r="B27" s="23">
        <v>0.49305555555555602</v>
      </c>
      <c r="C27" s="116" t="s">
        <v>9</v>
      </c>
      <c r="D27" s="116"/>
      <c r="E27" s="24">
        <v>0.49305555555555602</v>
      </c>
      <c r="F27" s="117" t="s">
        <v>9</v>
      </c>
      <c r="G27" s="117"/>
      <c r="H27" s="25">
        <v>0.54166666666666696</v>
      </c>
      <c r="I27" s="118" t="s">
        <v>9</v>
      </c>
      <c r="J27" s="118"/>
      <c r="K27" s="49">
        <v>0.625</v>
      </c>
      <c r="L27" s="119" t="s">
        <v>9</v>
      </c>
      <c r="M27" s="119"/>
    </row>
    <row r="28" spans="1:13">
      <c r="A28" s="115"/>
      <c r="B28" s="29">
        <v>0.52777777777777801</v>
      </c>
      <c r="C28" s="116"/>
      <c r="D28" s="116"/>
      <c r="E28" s="30">
        <v>0.52777777777777801</v>
      </c>
      <c r="F28" s="117"/>
      <c r="G28" s="117"/>
      <c r="H28" s="31">
        <v>0.91666666666666696</v>
      </c>
      <c r="I28" s="118"/>
      <c r="J28" s="118"/>
      <c r="K28" s="32">
        <v>1</v>
      </c>
      <c r="L28" s="119"/>
      <c r="M28" s="119"/>
    </row>
    <row r="29" spans="1:13">
      <c r="A29" s="115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>
      <c r="A30" s="115">
        <v>44724</v>
      </c>
      <c r="B30" s="23">
        <v>0.83333333333333304</v>
      </c>
      <c r="C30" s="116" t="s">
        <v>9</v>
      </c>
      <c r="D30" s="116"/>
      <c r="E30" s="24"/>
      <c r="F30" s="117" t="s">
        <v>9</v>
      </c>
      <c r="G30" s="117"/>
      <c r="H30" s="25">
        <v>0.54166666666666696</v>
      </c>
      <c r="I30" s="118" t="s">
        <v>9</v>
      </c>
      <c r="J30" s="118"/>
      <c r="K30" s="26">
        <v>0.54166666666666696</v>
      </c>
      <c r="L30" s="119" t="s">
        <v>9</v>
      </c>
      <c r="M30" s="119"/>
    </row>
    <row r="31" spans="1:13">
      <c r="A31" s="115"/>
      <c r="B31" s="29">
        <v>0.91666666666666696</v>
      </c>
      <c r="C31" s="116"/>
      <c r="D31" s="116"/>
      <c r="E31" s="30"/>
      <c r="F31" s="117"/>
      <c r="G31" s="117"/>
      <c r="H31" s="31">
        <v>0.95833333333333304</v>
      </c>
      <c r="I31" s="118"/>
      <c r="J31" s="118"/>
      <c r="K31" s="50">
        <v>0.95833333333333304</v>
      </c>
      <c r="L31" s="119"/>
      <c r="M31" s="119"/>
    </row>
    <row r="32" spans="1:13">
      <c r="A32" s="115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>
      <c r="A33" s="115">
        <v>44725</v>
      </c>
      <c r="B33" s="23">
        <v>0.83333333333333304</v>
      </c>
      <c r="C33" s="116" t="s">
        <v>9</v>
      </c>
      <c r="D33" s="116"/>
      <c r="E33" s="24">
        <v>0.72916666666666696</v>
      </c>
      <c r="F33" s="117" t="s">
        <v>68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>
        <v>0.95833333333333304</v>
      </c>
      <c r="C34" s="116"/>
      <c r="D34" s="116"/>
      <c r="E34" s="30">
        <v>0.92708333333333304</v>
      </c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>
        <v>44726</v>
      </c>
      <c r="B36" s="23">
        <v>0.70833333333333304</v>
      </c>
      <c r="C36" s="116" t="s">
        <v>9</v>
      </c>
      <c r="D36" s="116"/>
      <c r="E36" s="24">
        <v>0.71875</v>
      </c>
      <c r="F36" s="117" t="s">
        <v>9</v>
      </c>
      <c r="G36" s="117"/>
      <c r="H36" s="25"/>
      <c r="I36" s="118" t="s">
        <v>9</v>
      </c>
      <c r="J36" s="118"/>
      <c r="K36" s="49">
        <v>0.79166666666666696</v>
      </c>
      <c r="L36" s="119" t="s">
        <v>9</v>
      </c>
      <c r="M36" s="119"/>
    </row>
    <row r="37" spans="1:13">
      <c r="A37" s="115"/>
      <c r="B37" s="29">
        <v>0.72916666666666696</v>
      </c>
      <c r="C37" s="116"/>
      <c r="D37" s="116"/>
      <c r="E37" s="30">
        <v>0.875</v>
      </c>
      <c r="F37" s="117"/>
      <c r="G37" s="117"/>
      <c r="H37" s="31"/>
      <c r="I37" s="118"/>
      <c r="J37" s="118"/>
      <c r="K37" s="32">
        <v>0.95833333333333304</v>
      </c>
      <c r="L37" s="119"/>
      <c r="M37" s="119"/>
    </row>
    <row r="38" spans="1:13">
      <c r="A38" s="115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>
      <c r="A3" s="115">
        <v>44580.09</v>
      </c>
      <c r="B3" s="23">
        <v>0.5</v>
      </c>
      <c r="C3" s="116" t="s">
        <v>9</v>
      </c>
      <c r="D3" s="116"/>
      <c r="E3" s="24">
        <v>0.5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</v>
      </c>
      <c r="L3" s="119" t="s">
        <v>9</v>
      </c>
      <c r="M3" s="119"/>
      <c r="N3" s="27" t="s">
        <v>3</v>
      </c>
      <c r="O3" s="28">
        <f>D2+G2+J2+M2</f>
        <v>25.229166666666689</v>
      </c>
    </row>
    <row r="4" spans="1:15">
      <c r="A4" s="115"/>
      <c r="B4" s="29">
        <v>0.64583333333333304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>
      <c r="A5" s="115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>
      <c r="A6" s="115" t="s">
        <v>69</v>
      </c>
      <c r="B6" s="23">
        <v>0.625</v>
      </c>
      <c r="C6" s="116" t="s">
        <v>9</v>
      </c>
      <c r="D6" s="116"/>
      <c r="E6" s="24">
        <v>0.625</v>
      </c>
      <c r="F6" s="117" t="s">
        <v>9</v>
      </c>
      <c r="G6" s="117"/>
      <c r="H6" s="25">
        <v>0.75</v>
      </c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0.75</v>
      </c>
      <c r="C7" s="116"/>
      <c r="D7" s="116"/>
      <c r="E7" s="30">
        <v>0.75</v>
      </c>
      <c r="F7" s="117"/>
      <c r="G7" s="117"/>
      <c r="H7" s="31">
        <v>0.89583333333333304</v>
      </c>
      <c r="I7" s="118"/>
      <c r="J7" s="118"/>
      <c r="K7" s="32"/>
      <c r="L7" s="119"/>
      <c r="M7" s="119"/>
    </row>
    <row r="8" spans="1:15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>
      <c r="A9" s="115" t="s">
        <v>70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0.66666666666666696</v>
      </c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0.83333333333333304</v>
      </c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>
      <c r="A3" s="115" t="s">
        <v>71</v>
      </c>
      <c r="B3" s="23">
        <v>0.53125</v>
      </c>
      <c r="C3" s="116" t="s">
        <v>9</v>
      </c>
      <c r="D3" s="116"/>
      <c r="E3" s="106">
        <v>0.53125</v>
      </c>
      <c r="F3" s="117" t="s">
        <v>9</v>
      </c>
      <c r="G3" s="117"/>
      <c r="H3" s="107"/>
      <c r="I3" s="118" t="s">
        <v>9</v>
      </c>
      <c r="J3" s="118"/>
      <c r="K3" s="108">
        <v>0.53125</v>
      </c>
      <c r="L3" s="119" t="s">
        <v>9</v>
      </c>
      <c r="M3" s="119"/>
      <c r="N3" s="27" t="s">
        <v>3</v>
      </c>
      <c r="O3" s="28">
        <f>D2+G2+J2+M2</f>
        <v>27.604166666666686</v>
      </c>
    </row>
    <row r="4" spans="1:15">
      <c r="A4" s="115"/>
      <c r="B4" s="29">
        <v>0.64583333333333304</v>
      </c>
      <c r="C4" s="116"/>
      <c r="D4" s="116"/>
      <c r="E4" s="109">
        <v>0.64583333333333304</v>
      </c>
      <c r="F4" s="117"/>
      <c r="G4" s="117"/>
      <c r="H4" s="110"/>
      <c r="I4" s="118"/>
      <c r="J4" s="118"/>
      <c r="K4" s="111">
        <v>0.64583333333333304</v>
      </c>
      <c r="L4" s="119"/>
      <c r="M4" s="119"/>
    </row>
    <row r="5" spans="1:15">
      <c r="A5" s="115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>
      <c r="A6" s="115" t="s">
        <v>72</v>
      </c>
      <c r="B6" s="23">
        <v>0.33333333333333298</v>
      </c>
      <c r="C6" s="116" t="s">
        <v>9</v>
      </c>
      <c r="D6" s="116"/>
      <c r="E6" s="106">
        <v>0.33333333333333298</v>
      </c>
      <c r="F6" s="117" t="s">
        <v>9</v>
      </c>
      <c r="G6" s="117"/>
      <c r="H6" s="107"/>
      <c r="I6" s="118" t="s">
        <v>9</v>
      </c>
      <c r="J6" s="118"/>
      <c r="K6" s="108">
        <v>0.33333333333333298</v>
      </c>
      <c r="L6" s="119" t="s">
        <v>9</v>
      </c>
      <c r="M6" s="119"/>
    </row>
    <row r="7" spans="1:15">
      <c r="A7" s="115"/>
      <c r="B7" s="29">
        <v>0.45833333333333298</v>
      </c>
      <c r="C7" s="116"/>
      <c r="D7" s="116"/>
      <c r="E7" s="109">
        <v>0.45833333333333298</v>
      </c>
      <c r="F7" s="117"/>
      <c r="G7" s="117"/>
      <c r="H7" s="110"/>
      <c r="I7" s="118"/>
      <c r="J7" s="118"/>
      <c r="K7" s="111">
        <v>0.45833333333333298</v>
      </c>
      <c r="L7" s="119"/>
      <c r="M7" s="119"/>
    </row>
    <row r="8" spans="1:15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>
      <c r="A9" s="115" t="s">
        <v>73</v>
      </c>
      <c r="B9" s="23">
        <v>0.53125</v>
      </c>
      <c r="C9" s="116" t="s">
        <v>9</v>
      </c>
      <c r="D9" s="116"/>
      <c r="E9" s="106">
        <v>0.53125</v>
      </c>
      <c r="F9" s="117" t="s">
        <v>9</v>
      </c>
      <c r="G9" s="117"/>
      <c r="H9" s="107">
        <v>0.53125</v>
      </c>
      <c r="I9" s="118" t="s">
        <v>9</v>
      </c>
      <c r="J9" s="118"/>
      <c r="K9" s="108">
        <v>0.53125</v>
      </c>
      <c r="L9" s="119" t="s">
        <v>9</v>
      </c>
      <c r="M9" s="119"/>
    </row>
    <row r="10" spans="1:15">
      <c r="A10" s="115"/>
      <c r="B10" s="29">
        <v>0.64583333333333304</v>
      </c>
      <c r="C10" s="116"/>
      <c r="D10" s="116"/>
      <c r="E10" s="109">
        <v>0.64583333333333304</v>
      </c>
      <c r="F10" s="117"/>
      <c r="G10" s="117"/>
      <c r="H10" s="110">
        <v>0.64583333333333304</v>
      </c>
      <c r="I10" s="118"/>
      <c r="J10" s="118"/>
      <c r="K10" s="111">
        <v>0.64583333333333304</v>
      </c>
      <c r="L10" s="119"/>
      <c r="M10" s="119"/>
    </row>
    <row r="11" spans="1:15">
      <c r="A11" s="115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>
      <c r="A12" s="115" t="s">
        <v>74</v>
      </c>
      <c r="B12" s="23">
        <v>0.33333333333333298</v>
      </c>
      <c r="C12" s="116" t="s">
        <v>9</v>
      </c>
      <c r="D12" s="116"/>
      <c r="E12" s="106">
        <v>0.33333333333333298</v>
      </c>
      <c r="F12" s="117" t="s">
        <v>9</v>
      </c>
      <c r="G12" s="117"/>
      <c r="H12" s="107">
        <v>0.33333333333333298</v>
      </c>
      <c r="I12" s="118" t="s">
        <v>9</v>
      </c>
      <c r="J12" s="118"/>
      <c r="K12" s="108">
        <v>0.33333333333333298</v>
      </c>
      <c r="L12" s="119" t="s">
        <v>9</v>
      </c>
      <c r="M12" s="119"/>
    </row>
    <row r="13" spans="1:15">
      <c r="A13" s="115"/>
      <c r="B13" s="29">
        <v>0.45833333333333298</v>
      </c>
      <c r="C13" s="116"/>
      <c r="D13" s="116"/>
      <c r="E13" s="109">
        <v>0.45833333333333298</v>
      </c>
      <c r="F13" s="117"/>
      <c r="G13" s="117"/>
      <c r="H13" s="110">
        <v>0.45833333333333298</v>
      </c>
      <c r="I13" s="118"/>
      <c r="J13" s="118"/>
      <c r="K13" s="111">
        <v>0.45833333333333298</v>
      </c>
      <c r="L13" s="119"/>
      <c r="M13" s="119"/>
    </row>
    <row r="14" spans="1:15">
      <c r="A14" s="115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>
      <c r="A15" s="115" t="s">
        <v>75</v>
      </c>
      <c r="B15" s="23">
        <v>0.70833333333333304</v>
      </c>
      <c r="C15" s="116" t="s">
        <v>9</v>
      </c>
      <c r="D15" s="116"/>
      <c r="E15" s="24"/>
      <c r="F15" s="117" t="s">
        <v>9</v>
      </c>
      <c r="G15" s="117"/>
      <c r="H15" s="25">
        <v>0.75</v>
      </c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>
        <v>0.83333333333333304</v>
      </c>
      <c r="C16" s="116"/>
      <c r="D16" s="116"/>
      <c r="E16" s="30"/>
      <c r="F16" s="117"/>
      <c r="G16" s="117"/>
      <c r="H16" s="31">
        <v>0.85416666666666696</v>
      </c>
      <c r="I16" s="118"/>
      <c r="J16" s="118"/>
      <c r="K16" s="32"/>
      <c r="L16" s="119"/>
      <c r="M16" s="119"/>
    </row>
    <row r="17" spans="1:13">
      <c r="A17" s="115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 t="s">
        <v>76</v>
      </c>
      <c r="B18" s="23"/>
      <c r="C18" s="116" t="s">
        <v>9</v>
      </c>
      <c r="D18" s="116"/>
      <c r="E18" s="24">
        <v>0.54166666666666696</v>
      </c>
      <c r="F18" s="117" t="s">
        <v>9</v>
      </c>
      <c r="G18" s="117"/>
      <c r="H18" s="25">
        <v>0.66666666666666696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>
      <c r="A19" s="115"/>
      <c r="B19" s="29"/>
      <c r="C19" s="116"/>
      <c r="D19" s="116"/>
      <c r="E19" s="30">
        <v>0.6875</v>
      </c>
      <c r="F19" s="117"/>
      <c r="G19" s="117"/>
      <c r="H19" s="31">
        <v>0.75</v>
      </c>
      <c r="I19" s="118"/>
      <c r="J19" s="118"/>
      <c r="K19" s="32">
        <v>0.48958333333333298</v>
      </c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>
      <c r="A21" s="115">
        <v>44845</v>
      </c>
      <c r="B21" s="23"/>
      <c r="C21" s="116" t="s">
        <v>9</v>
      </c>
      <c r="D21" s="116"/>
      <c r="E21" s="24"/>
      <c r="F21" s="117" t="s">
        <v>9</v>
      </c>
      <c r="G21" s="117"/>
      <c r="H21" s="25">
        <v>0.66666666666666696</v>
      </c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>
        <v>0.75</v>
      </c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defaultColWidth="11.42578125" defaultRowHeight="14.45"/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>
      <c r="A3" s="115">
        <v>44846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30.770833333333357</v>
      </c>
    </row>
    <row r="4" spans="1:15">
      <c r="A4" s="115"/>
      <c r="B4" s="29">
        <v>0.48958333333333298</v>
      </c>
      <c r="C4" s="116"/>
      <c r="D4" s="116"/>
      <c r="E4" s="30">
        <v>0.48958333333333298</v>
      </c>
      <c r="F4" s="117"/>
      <c r="G4" s="117"/>
      <c r="H4" s="31">
        <v>0.48958333333333298</v>
      </c>
      <c r="I4" s="118"/>
      <c r="J4" s="118"/>
      <c r="K4" s="32">
        <v>0.48958333333333298</v>
      </c>
      <c r="L4" s="119"/>
      <c r="M4" s="119"/>
      <c r="N4" s="112"/>
      <c r="O4" s="113"/>
    </row>
    <row r="5" spans="1:15">
      <c r="A5" s="115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>
      <c r="A6" s="115">
        <v>44852</v>
      </c>
      <c r="B6" s="23">
        <v>0.53125</v>
      </c>
      <c r="C6" s="116" t="s">
        <v>45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26">
        <v>0.53125</v>
      </c>
      <c r="L6" s="119" t="s">
        <v>9</v>
      </c>
      <c r="M6" s="119"/>
    </row>
    <row r="7" spans="1:15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>
      <c r="A9" s="115">
        <v>44853</v>
      </c>
      <c r="B9" s="23">
        <v>0.33333333333333298</v>
      </c>
      <c r="C9" s="116" t="s">
        <v>45</v>
      </c>
      <c r="D9" s="116"/>
      <c r="E9" s="24">
        <v>0.33333333333333298</v>
      </c>
      <c r="F9" s="117" t="s">
        <v>9</v>
      </c>
      <c r="G9" s="117"/>
      <c r="H9" s="25">
        <v>0.33333333333333298</v>
      </c>
      <c r="I9" s="118" t="s">
        <v>9</v>
      </c>
      <c r="J9" s="118"/>
      <c r="K9" s="49">
        <v>0.33333333333333298</v>
      </c>
      <c r="L9" s="119" t="s">
        <v>27</v>
      </c>
      <c r="M9" s="119"/>
    </row>
    <row r="10" spans="1:15">
      <c r="A10" s="115"/>
      <c r="B10" s="29">
        <v>0.45138888888888901</v>
      </c>
      <c r="C10" s="116"/>
      <c r="D10" s="116"/>
      <c r="E10" s="30">
        <v>0.45138888888888901</v>
      </c>
      <c r="F10" s="117"/>
      <c r="G10" s="117"/>
      <c r="H10" s="31">
        <v>0.45138888888888901</v>
      </c>
      <c r="I10" s="118"/>
      <c r="J10" s="118"/>
      <c r="K10" s="32">
        <v>0.45138888888888901</v>
      </c>
      <c r="L10" s="119"/>
      <c r="M10" s="119"/>
    </row>
    <row r="11" spans="1:15">
      <c r="A11" s="115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>
      <c r="A12" s="115">
        <v>44880</v>
      </c>
      <c r="B12" s="23">
        <v>0.53125</v>
      </c>
      <c r="C12" s="116" t="s">
        <v>77</v>
      </c>
      <c r="D12" s="116"/>
      <c r="E12" s="24">
        <v>0.53125</v>
      </c>
      <c r="F12" s="117" t="s">
        <v>9</v>
      </c>
      <c r="G12" s="117"/>
      <c r="H12" s="25">
        <v>0.53125</v>
      </c>
      <c r="I12" s="118" t="s">
        <v>9</v>
      </c>
      <c r="J12" s="118"/>
      <c r="K12" s="45"/>
      <c r="L12" s="119" t="s">
        <v>9</v>
      </c>
      <c r="M12" s="119"/>
    </row>
    <row r="13" spans="1:15">
      <c r="A13" s="115"/>
      <c r="B13" s="29">
        <v>0.64236111111111105</v>
      </c>
      <c r="C13" s="116"/>
      <c r="D13" s="116"/>
      <c r="E13" s="30">
        <v>0.64236111111111105</v>
      </c>
      <c r="F13" s="117"/>
      <c r="G13" s="117"/>
      <c r="H13" s="31">
        <v>0.64236111111111105</v>
      </c>
      <c r="I13" s="118"/>
      <c r="J13" s="118"/>
      <c r="K13" s="32"/>
      <c r="L13" s="119"/>
      <c r="M13" s="119"/>
    </row>
    <row r="14" spans="1:15">
      <c r="A14" s="115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>
      <c r="A15" s="115">
        <v>44881</v>
      </c>
      <c r="B15" s="23">
        <v>0.33333333333333298</v>
      </c>
      <c r="C15" s="116" t="s">
        <v>78</v>
      </c>
      <c r="D15" s="116"/>
      <c r="E15" s="24">
        <v>0.33333333333333298</v>
      </c>
      <c r="F15" s="117" t="s">
        <v>9</v>
      </c>
      <c r="G15" s="117"/>
      <c r="H15" s="25">
        <v>0.33333333333333298</v>
      </c>
      <c r="I15" s="118" t="s">
        <v>9</v>
      </c>
      <c r="J15" s="118"/>
      <c r="K15" s="49"/>
      <c r="L15" s="119" t="s">
        <v>9</v>
      </c>
      <c r="M15" s="119"/>
    </row>
    <row r="16" spans="1:15">
      <c r="A16" s="115"/>
      <c r="B16" s="29">
        <v>0.45138888888888901</v>
      </c>
      <c r="C16" s="116"/>
      <c r="D16" s="116"/>
      <c r="E16" s="30">
        <v>0.45138888888888901</v>
      </c>
      <c r="F16" s="117"/>
      <c r="G16" s="117"/>
      <c r="H16" s="31">
        <v>0.45138888888888901</v>
      </c>
      <c r="I16" s="118"/>
      <c r="J16" s="118"/>
      <c r="K16" s="32"/>
      <c r="L16" s="119"/>
      <c r="M16" s="119"/>
    </row>
    <row r="17" spans="1:13">
      <c r="A17" s="115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>
        <v>44883</v>
      </c>
      <c r="B18" s="23">
        <v>0.58333333333333304</v>
      </c>
      <c r="C18" s="116" t="s">
        <v>79</v>
      </c>
      <c r="D18" s="116"/>
      <c r="E18" s="24"/>
      <c r="F18" s="117" t="s">
        <v>9</v>
      </c>
      <c r="G18" s="117"/>
      <c r="H18" s="25">
        <v>0.625</v>
      </c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>
        <v>0.75</v>
      </c>
      <c r="C19" s="116"/>
      <c r="D19" s="116"/>
      <c r="E19" s="30"/>
      <c r="F19" s="117"/>
      <c r="G19" s="117"/>
      <c r="H19" s="31">
        <v>0.83333333333333304</v>
      </c>
      <c r="I19" s="118"/>
      <c r="J19" s="118"/>
      <c r="K19" s="50"/>
      <c r="L19" s="119"/>
      <c r="M19" s="119"/>
    </row>
    <row r="20" spans="1:13">
      <c r="A20" s="115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>
      <c r="A21" s="115">
        <v>44884</v>
      </c>
      <c r="B21" s="23"/>
      <c r="C21" s="116" t="s">
        <v>9</v>
      </c>
      <c r="D21" s="116"/>
      <c r="E21" s="24">
        <v>0.71875</v>
      </c>
      <c r="F21" s="117" t="s">
        <v>9</v>
      </c>
      <c r="G21" s="117"/>
      <c r="H21" s="25">
        <v>0.58333333333333304</v>
      </c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>
        <v>0.83333333333333304</v>
      </c>
      <c r="F22" s="117"/>
      <c r="G22" s="117"/>
      <c r="H22" s="31">
        <v>0.66666666666666696</v>
      </c>
      <c r="I22" s="118"/>
      <c r="J22" s="118"/>
      <c r="K22" s="32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>
      <c r="A24" s="115">
        <v>44863</v>
      </c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49">
        <v>0.33333333333333298</v>
      </c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0.54166666666666696</v>
      </c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>
      <c r="A27" s="115">
        <v>44887</v>
      </c>
      <c r="B27" s="23">
        <v>0.33333333333333298</v>
      </c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26"/>
      <c r="L27" s="119" t="s">
        <v>9</v>
      </c>
      <c r="M27" s="119"/>
    </row>
    <row r="28" spans="1:13">
      <c r="A28" s="115"/>
      <c r="B28" s="29">
        <v>0.48958333333333298</v>
      </c>
      <c r="C28" s="116"/>
      <c r="D28" s="116"/>
      <c r="E28" s="30"/>
      <c r="F28" s="117"/>
      <c r="G28" s="117"/>
      <c r="H28" s="31"/>
      <c r="I28" s="118"/>
      <c r="J28" s="118"/>
      <c r="K28" s="50"/>
      <c r="L28" s="119"/>
      <c r="M28" s="119"/>
    </row>
    <row r="29" spans="1:13">
      <c r="A29" s="115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32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49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26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50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32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49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32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9</v>
      </c>
      <c r="D60" s="116"/>
      <c r="E60" s="24"/>
      <c r="F60" s="117" t="s">
        <v>9</v>
      </c>
      <c r="G60" s="117"/>
      <c r="H60" s="25"/>
      <c r="I60" s="118" t="s">
        <v>9</v>
      </c>
      <c r="J60" s="118"/>
      <c r="K60" s="26"/>
      <c r="L60" s="119" t="s">
        <v>9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9</v>
      </c>
      <c r="D63" s="116"/>
      <c r="E63" s="24"/>
      <c r="F63" s="117" t="s">
        <v>9</v>
      </c>
      <c r="G63" s="117"/>
      <c r="H63" s="25"/>
      <c r="I63" s="118" t="s">
        <v>9</v>
      </c>
      <c r="J63" s="118"/>
      <c r="K63" s="26"/>
      <c r="L63" s="119" t="s">
        <v>9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>
      <c r="A162" s="115"/>
      <c r="B162" s="23"/>
      <c r="C162" s="116" t="s">
        <v>10</v>
      </c>
      <c r="D162" s="116"/>
      <c r="E162" s="24"/>
      <c r="F162" s="117" t="s">
        <v>10</v>
      </c>
      <c r="G162" s="117"/>
      <c r="H162" s="25"/>
      <c r="I162" s="118" t="s">
        <v>10</v>
      </c>
      <c r="J162" s="118"/>
      <c r="K162" s="26"/>
      <c r="L162" s="119" t="s">
        <v>10</v>
      </c>
      <c r="M162" s="119"/>
    </row>
    <row r="163" spans="1:13">
      <c r="A163" s="115"/>
      <c r="B163" s="29"/>
      <c r="C163" s="116"/>
      <c r="D163" s="116"/>
      <c r="E163" s="30"/>
      <c r="F163" s="117"/>
      <c r="G163" s="117"/>
      <c r="H163" s="31"/>
      <c r="I163" s="118"/>
      <c r="J163" s="118"/>
      <c r="K163" s="50"/>
      <c r="L163" s="119"/>
      <c r="M163" s="119"/>
    </row>
    <row r="164" spans="1:13">
      <c r="A164" s="115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>
      <c r="A165" s="115"/>
      <c r="B165" s="23"/>
      <c r="C165" s="116" t="s">
        <v>10</v>
      </c>
      <c r="D165" s="116"/>
      <c r="E165" s="24"/>
      <c r="F165" s="117" t="s">
        <v>10</v>
      </c>
      <c r="G165" s="117"/>
      <c r="H165" s="25"/>
      <c r="I165" s="118" t="s">
        <v>10</v>
      </c>
      <c r="J165" s="118"/>
      <c r="K165" s="26"/>
      <c r="L165" s="119" t="s">
        <v>10</v>
      </c>
      <c r="M165" s="119"/>
    </row>
    <row r="166" spans="1:13">
      <c r="A166" s="115"/>
      <c r="B166" s="29"/>
      <c r="C166" s="116"/>
      <c r="D166" s="116"/>
      <c r="E166" s="30"/>
      <c r="F166" s="117"/>
      <c r="G166" s="117"/>
      <c r="H166" s="31"/>
      <c r="I166" s="118"/>
      <c r="J166" s="118"/>
      <c r="K166" s="50"/>
      <c r="L166" s="119"/>
      <c r="M166" s="119"/>
    </row>
    <row r="167" spans="1:13">
      <c r="A167" s="115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>
      <c r="A3" s="149">
        <v>44887</v>
      </c>
      <c r="B3" s="23">
        <v>0.53819444444444398</v>
      </c>
      <c r="C3" s="116" t="s">
        <v>80</v>
      </c>
      <c r="D3" s="116"/>
      <c r="E3" s="24">
        <v>0.53125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0.53125</v>
      </c>
      <c r="L3" s="119" t="s">
        <v>9</v>
      </c>
      <c r="M3" s="119"/>
      <c r="N3" s="27" t="s">
        <v>3</v>
      </c>
      <c r="O3" s="28">
        <f>D2+G2+J2+M2</f>
        <v>33.614583333333357</v>
      </c>
    </row>
    <row r="4" spans="1:15">
      <c r="A4" s="149"/>
      <c r="B4" s="29">
        <v>0.64236111111111105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>
      <c r="A6" s="149">
        <v>44888</v>
      </c>
      <c r="B6" s="23">
        <v>0.36805555555555602</v>
      </c>
      <c r="C6" s="116" t="s">
        <v>81</v>
      </c>
      <c r="D6" s="116"/>
      <c r="E6" s="114">
        <v>0.33333333333333298</v>
      </c>
      <c r="F6" s="117" t="s">
        <v>9</v>
      </c>
      <c r="G6" s="117"/>
      <c r="H6" s="25">
        <v>0.33333333333333298</v>
      </c>
      <c r="I6" s="118" t="s">
        <v>9</v>
      </c>
      <c r="J6" s="118"/>
      <c r="K6" s="45">
        <v>0.36805555555555602</v>
      </c>
      <c r="L6" s="119" t="s">
        <v>9</v>
      </c>
      <c r="M6" s="119"/>
    </row>
    <row r="7" spans="1:15">
      <c r="A7" s="149"/>
      <c r="B7" s="29">
        <v>0.45138888888888901</v>
      </c>
      <c r="C7" s="116"/>
      <c r="D7" s="116"/>
      <c r="E7" s="30">
        <v>0.45138888888888901</v>
      </c>
      <c r="F7" s="117"/>
      <c r="G7" s="117"/>
      <c r="H7" s="31">
        <v>0.45138888888888901</v>
      </c>
      <c r="I7" s="118"/>
      <c r="J7" s="118"/>
      <c r="K7" s="32">
        <v>0.45138888888888901</v>
      </c>
      <c r="L7" s="119"/>
      <c r="M7" s="119"/>
    </row>
    <row r="8" spans="1:15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>
      <c r="A9" s="149">
        <v>44894</v>
      </c>
      <c r="B9" s="23">
        <v>0.33333333333333298</v>
      </c>
      <c r="C9" s="116" t="s">
        <v>82</v>
      </c>
      <c r="D9" s="116"/>
      <c r="E9" s="24">
        <v>0.53125</v>
      </c>
      <c r="F9" s="117" t="s">
        <v>9</v>
      </c>
      <c r="G9" s="117"/>
      <c r="H9" s="25">
        <v>0.53125</v>
      </c>
      <c r="I9" s="118" t="s">
        <v>9</v>
      </c>
      <c r="J9" s="118"/>
      <c r="K9" s="49">
        <v>0.49305555555555602</v>
      </c>
      <c r="L9" s="119" t="s">
        <v>9</v>
      </c>
      <c r="M9" s="119"/>
    </row>
    <row r="10" spans="1:15">
      <c r="A10" s="149"/>
      <c r="B10" s="29">
        <v>0.625</v>
      </c>
      <c r="C10" s="116"/>
      <c r="D10" s="116"/>
      <c r="E10" s="30">
        <v>0.64583333333333304</v>
      </c>
      <c r="F10" s="117"/>
      <c r="G10" s="117"/>
      <c r="H10" s="31">
        <v>0.64583333333333304</v>
      </c>
      <c r="I10" s="118"/>
      <c r="J10" s="118"/>
      <c r="K10" s="32">
        <v>0.64583333333333304</v>
      </c>
      <c r="L10" s="119"/>
      <c r="M10" s="119"/>
    </row>
    <row r="11" spans="1:15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>
      <c r="A12" s="149">
        <v>44895</v>
      </c>
      <c r="B12" s="23"/>
      <c r="C12" s="116" t="s">
        <v>9</v>
      </c>
      <c r="D12" s="116"/>
      <c r="E12" s="114">
        <v>0.33333333333333298</v>
      </c>
      <c r="F12" s="117" t="s">
        <v>9</v>
      </c>
      <c r="G12" s="117"/>
      <c r="H12" s="25">
        <v>0.33333333333333298</v>
      </c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>
      <c r="A13" s="149"/>
      <c r="B13" s="29"/>
      <c r="C13" s="116"/>
      <c r="D13" s="116"/>
      <c r="E13" s="30">
        <v>0.45138888888888901</v>
      </c>
      <c r="F13" s="117"/>
      <c r="G13" s="117"/>
      <c r="H13" s="31">
        <v>0.45138888888888901</v>
      </c>
      <c r="I13" s="118"/>
      <c r="J13" s="118"/>
      <c r="K13" s="50">
        <v>0.48958333333333298</v>
      </c>
      <c r="L13" s="119"/>
      <c r="M13" s="119"/>
    </row>
    <row r="14" spans="1:15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>
      <c r="A15" s="149">
        <v>44896</v>
      </c>
      <c r="B15" s="23">
        <v>0.41666666666666702</v>
      </c>
      <c r="C15" s="116" t="s">
        <v>83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49"/>
      <c r="B16" s="29">
        <v>0.75</v>
      </c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49">
        <v>44897</v>
      </c>
      <c r="B18" s="23">
        <v>0.5</v>
      </c>
      <c r="C18" s="116" t="s">
        <v>83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49"/>
      <c r="B19" s="29">
        <v>0.79166666666666696</v>
      </c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49">
        <v>44898</v>
      </c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>
        <v>0.33333333333333298</v>
      </c>
      <c r="L21" s="119" t="s">
        <v>9</v>
      </c>
      <c r="M21" s="119"/>
    </row>
    <row r="22" spans="1:13">
      <c r="A22" s="149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0.41666666666666702</v>
      </c>
      <c r="L22" s="119"/>
      <c r="M22" s="119"/>
    </row>
    <row r="23" spans="1:13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>
      <c r="A24" s="149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49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49">
        <v>44899</v>
      </c>
      <c r="B27" s="23">
        <v>0.45833333333333298</v>
      </c>
      <c r="C27" s="116" t="s">
        <v>84</v>
      </c>
      <c r="D27" s="116"/>
      <c r="E27" s="24">
        <v>0.64583333333333304</v>
      </c>
      <c r="F27" s="117" t="s">
        <v>85</v>
      </c>
      <c r="G27" s="117"/>
      <c r="H27" s="25"/>
      <c r="I27" s="118" t="s">
        <v>9</v>
      </c>
      <c r="J27" s="118"/>
      <c r="K27" s="49">
        <v>0.45833333333333298</v>
      </c>
      <c r="L27" s="119" t="s">
        <v>84</v>
      </c>
      <c r="M27" s="119"/>
    </row>
    <row r="28" spans="1:13">
      <c r="A28" s="149"/>
      <c r="B28" s="29">
        <v>0.52083333333333304</v>
      </c>
      <c r="C28" s="116"/>
      <c r="D28" s="116"/>
      <c r="E28" s="30">
        <v>0.73958333333333304</v>
      </c>
      <c r="F28" s="117"/>
      <c r="G28" s="117"/>
      <c r="H28" s="31"/>
      <c r="I28" s="118"/>
      <c r="J28" s="118"/>
      <c r="K28" s="32">
        <v>0.52083333333333304</v>
      </c>
      <c r="L28" s="119"/>
      <c r="M28" s="119"/>
    </row>
    <row r="29" spans="1:13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>
      <c r="A30" s="149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49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49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49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9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49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49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49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49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49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9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49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9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49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9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49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9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49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9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49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9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49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9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49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9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49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9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49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9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49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9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49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9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49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9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49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9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49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9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49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9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49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9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49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9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49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9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49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9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49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9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49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9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49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9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49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9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49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9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49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9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49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9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49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9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49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9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49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9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49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9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49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9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49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9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49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9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49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9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49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9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49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9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49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9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49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9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49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>
      <c r="A3" s="115">
        <v>44915</v>
      </c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>
        <v>0.54166666666666696</v>
      </c>
      <c r="L3" s="119" t="s">
        <v>9</v>
      </c>
      <c r="M3" s="119"/>
      <c r="N3" s="27" t="s">
        <v>3</v>
      </c>
      <c r="O3" s="28">
        <f>D2+G2+J2+M2</f>
        <v>34.333333333333357</v>
      </c>
    </row>
    <row r="4" spans="1:15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>
        <v>0.64583333333333304</v>
      </c>
      <c r="L4" s="119"/>
      <c r="M4" s="119"/>
    </row>
    <row r="5" spans="1:15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>
      <c r="A6" s="115">
        <v>44916</v>
      </c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>
        <v>0.33333333333333298</v>
      </c>
      <c r="L6" s="119" t="s">
        <v>9</v>
      </c>
      <c r="M6" s="119"/>
    </row>
    <row r="7" spans="1:15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>
        <v>0.45833333333333298</v>
      </c>
      <c r="L7" s="119"/>
      <c r="M7" s="119"/>
    </row>
    <row r="8" spans="1:15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>
      <c r="A9" s="115">
        <v>44936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0.53125</v>
      </c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0.64583333333333304</v>
      </c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>
      <c r="A12" s="115">
        <v>44937</v>
      </c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>
        <v>0.45833333333333298</v>
      </c>
      <c r="L13" s="119"/>
      <c r="M13" s="119"/>
    </row>
    <row r="14" spans="1:15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>
      <c r="A15" s="115">
        <v>44941</v>
      </c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>
        <v>0.33333333333333298</v>
      </c>
      <c r="L15" s="119" t="s">
        <v>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0.58333333333333304</v>
      </c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zoomScale="90" zoomScaleNormal="90" workbookViewId="0">
      <selection activeCell="N14" sqref="N14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0.75694444444444442</v>
      </c>
      <c r="D2" s="11">
        <f>C2+Sprint_14!D2</f>
        <v>11.232638888888898</v>
      </c>
      <c r="E2" s="12" t="s">
        <v>6</v>
      </c>
      <c r="F2" s="13">
        <f t="array" ref="F2">SUM(E5:E161*(MOD(ROW(E5:E161)-2,3)=0))</f>
        <v>0.60763888888888906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0.41666666666666718</v>
      </c>
      <c r="J2" s="17">
        <f>I2+Sprint_14!J2</f>
        <v>9.1736111111111178</v>
      </c>
      <c r="K2" s="18" t="s">
        <v>8</v>
      </c>
      <c r="L2" s="19">
        <f t="array" ref="L2">SUM(K5:K161*(MOD(ROW(K5:K161)-2,3)=0))</f>
        <v>0.7222222222222231</v>
      </c>
      <c r="M2" s="20">
        <f>L2+Sprint_14!M2</f>
        <v>11.82986111111112</v>
      </c>
      <c r="N2" s="21" t="s">
        <v>2</v>
      </c>
      <c r="O2" s="22">
        <f>C2+F2+I2+L2</f>
        <v>2.5034722222222237</v>
      </c>
    </row>
    <row r="3" spans="1:15" ht="15" customHeight="1">
      <c r="A3" s="115">
        <v>44944</v>
      </c>
      <c r="B3" s="23">
        <v>0.33333333333333298</v>
      </c>
      <c r="C3" s="116" t="s">
        <v>86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36.836805555555578</v>
      </c>
    </row>
    <row r="4" spans="1:15" ht="14.25" customHeight="1">
      <c r="A4" s="115"/>
      <c r="B4" s="29">
        <v>0.45138888888888901</v>
      </c>
      <c r="C4" s="116"/>
      <c r="D4" s="116"/>
      <c r="E4" s="30">
        <v>0.45138888888888901</v>
      </c>
      <c r="F4" s="117"/>
      <c r="G4" s="117"/>
      <c r="H4" s="31">
        <v>0.45138888888888901</v>
      </c>
      <c r="I4" s="118"/>
      <c r="J4" s="118"/>
      <c r="K4" s="32">
        <v>0.45138888888888901</v>
      </c>
      <c r="L4" s="119"/>
      <c r="M4" s="119"/>
    </row>
    <row r="5" spans="1:15" ht="14.25" customHeight="1">
      <c r="A5" s="115"/>
      <c r="B5" s="33">
        <f>B4-B3</f>
        <v>0.11805555555555602</v>
      </c>
      <c r="C5" s="34"/>
      <c r="D5" s="35"/>
      <c r="E5" s="36">
        <f>E4-E3</f>
        <v>0.11805555555555602</v>
      </c>
      <c r="F5" s="37"/>
      <c r="G5" s="38"/>
      <c r="H5" s="39">
        <f>H4-H3</f>
        <v>0.11805555555555602</v>
      </c>
      <c r="I5" s="40"/>
      <c r="J5" s="41"/>
      <c r="K5" s="42">
        <f>K4-K3</f>
        <v>0.11805555555555602</v>
      </c>
      <c r="L5" s="43"/>
      <c r="M5" s="44"/>
    </row>
    <row r="6" spans="1:15" ht="15" customHeight="1">
      <c r="A6" s="115">
        <v>44950</v>
      </c>
      <c r="B6" s="23">
        <v>0.53125</v>
      </c>
      <c r="C6" s="116" t="s">
        <v>87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45">
        <v>0.53125</v>
      </c>
      <c r="L6" s="119" t="s">
        <v>9</v>
      </c>
      <c r="M6" s="119"/>
    </row>
    <row r="7" spans="1:15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15">
        <v>44951</v>
      </c>
      <c r="B9" s="23">
        <v>0.41666666666666702</v>
      </c>
      <c r="C9" s="116" t="s">
        <v>88</v>
      </c>
      <c r="D9" s="116"/>
      <c r="E9" s="24">
        <v>0.33333333333333298</v>
      </c>
      <c r="F9" s="117" t="s">
        <v>9</v>
      </c>
      <c r="G9" s="117"/>
      <c r="H9" s="25">
        <v>0.33333333333333298</v>
      </c>
      <c r="I9" s="118" t="s">
        <v>9</v>
      </c>
      <c r="J9" s="118"/>
      <c r="K9" s="49">
        <v>0.33333333333333298</v>
      </c>
      <c r="L9" s="119" t="s">
        <v>9</v>
      </c>
      <c r="M9" s="119"/>
    </row>
    <row r="10" spans="1:15">
      <c r="A10" s="115"/>
      <c r="B10" s="29">
        <v>0.45138888888888901</v>
      </c>
      <c r="C10" s="116"/>
      <c r="D10" s="116"/>
      <c r="E10" s="30">
        <v>0.45138888888888901</v>
      </c>
      <c r="F10" s="117"/>
      <c r="G10" s="117"/>
      <c r="H10" s="31">
        <v>0.45138888888888901</v>
      </c>
      <c r="I10" s="118"/>
      <c r="J10" s="118"/>
      <c r="K10" s="32">
        <v>0.45138888888888901</v>
      </c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5" customHeight="1">
      <c r="A12" s="115">
        <v>44954</v>
      </c>
      <c r="B12" s="23">
        <v>0.91666666666666696</v>
      </c>
      <c r="C12" s="116" t="s">
        <v>89</v>
      </c>
      <c r="D12" s="116"/>
      <c r="E12" s="24">
        <v>0.41666666666666702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>
        <v>1</v>
      </c>
      <c r="C13" s="116"/>
      <c r="D13" s="116"/>
      <c r="E13" s="30">
        <v>0.58333333333333304</v>
      </c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8.3333333333333037E-2</v>
      </c>
      <c r="C14" s="34"/>
      <c r="D14" s="35"/>
      <c r="E14" s="36">
        <f>E13-E12</f>
        <v>0.16666666666666602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>
        <v>44955</v>
      </c>
      <c r="B15" s="23">
        <v>0</v>
      </c>
      <c r="C15" s="116" t="s">
        <v>89</v>
      </c>
      <c r="D15" s="116"/>
      <c r="E15" s="24">
        <v>0.5625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>
        <v>8.3333333333333301E-2</v>
      </c>
      <c r="C16" s="116"/>
      <c r="D16" s="116"/>
      <c r="E16" s="30">
        <v>0.625</v>
      </c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>
        <v>44955</v>
      </c>
      <c r="B18" s="23">
        <v>0.5</v>
      </c>
      <c r="C18" s="116" t="s">
        <v>90</v>
      </c>
      <c r="D18" s="116"/>
      <c r="E18" s="24">
        <v>0.70833333333333304</v>
      </c>
      <c r="F18" s="117" t="s">
        <v>9</v>
      </c>
      <c r="G18" s="117"/>
      <c r="H18" s="25"/>
      <c r="I18" s="118" t="s">
        <v>9</v>
      </c>
      <c r="J18" s="118"/>
      <c r="K18" s="49">
        <v>0.5</v>
      </c>
      <c r="L18" s="119" t="s">
        <v>9</v>
      </c>
      <c r="M18" s="119"/>
    </row>
    <row r="19" spans="1:13">
      <c r="A19" s="115"/>
      <c r="B19" s="29">
        <v>0.59722222222222199</v>
      </c>
      <c r="C19" s="116"/>
      <c r="D19" s="116"/>
      <c r="E19" s="30">
        <v>0.73958333333333304</v>
      </c>
      <c r="F19" s="117"/>
      <c r="G19" s="117"/>
      <c r="H19" s="31"/>
      <c r="I19" s="118"/>
      <c r="J19" s="118"/>
      <c r="K19" s="32">
        <v>0.875</v>
      </c>
      <c r="L19" s="119"/>
      <c r="M19" s="119"/>
    </row>
    <row r="20" spans="1:13">
      <c r="A20" s="115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>
      <c r="A21" s="115">
        <v>44956</v>
      </c>
      <c r="B21" s="23">
        <v>0.75</v>
      </c>
      <c r="C21" s="116" t="s">
        <v>91</v>
      </c>
      <c r="D21" s="116"/>
      <c r="E21" s="24"/>
      <c r="F21" s="117" t="s">
        <v>9</v>
      </c>
      <c r="G21" s="117"/>
      <c r="H21" s="25">
        <v>0.79166666666666696</v>
      </c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>
        <v>0.97916666666666696</v>
      </c>
      <c r="C22" s="116"/>
      <c r="D22" s="116"/>
      <c r="E22" s="30"/>
      <c r="F22" s="117"/>
      <c r="G22" s="117"/>
      <c r="H22" s="31">
        <v>0.86111111111111105</v>
      </c>
      <c r="I22" s="118"/>
      <c r="J22" s="118"/>
      <c r="K22" s="50"/>
      <c r="L22" s="119"/>
      <c r="M22" s="119"/>
    </row>
    <row r="23" spans="1:13">
      <c r="A23" s="115"/>
      <c r="B23" s="33">
        <f>(B22-B21)</f>
        <v>0.22916666666666696</v>
      </c>
      <c r="C23" s="34"/>
      <c r="D23" s="35"/>
      <c r="E23" s="36">
        <f>E22-E21</f>
        <v>0</v>
      </c>
      <c r="F23" s="37"/>
      <c r="G23" s="38"/>
      <c r="H23" s="39">
        <f>H22-H21</f>
        <v>6.9444444444444087E-2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O161"/>
  <sheetViews>
    <sheetView tabSelected="1" topLeftCell="A25" zoomScale="90" zoomScaleNormal="90" workbookViewId="0">
      <selection activeCell="O44" sqref="O44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1.354166666666667</v>
      </c>
      <c r="D2" s="11">
        <f>C2+Sprint_7!D2</f>
        <v>7.1034722222222291</v>
      </c>
      <c r="E2" s="12" t="s">
        <v>6</v>
      </c>
      <c r="F2" s="13">
        <f t="array" ref="F2">SUM(E5:E161*(MOD(ROW(E5:E161)-2,3)=0))</f>
        <v>1.2604166666666667</v>
      </c>
      <c r="G2" s="14">
        <f>F2+Sprint_7!G2</f>
        <v>1.3854166666666667</v>
      </c>
      <c r="H2" s="15" t="s">
        <v>7</v>
      </c>
      <c r="I2" s="16">
        <f t="array" ref="I2">SUM(H5:H161*(MOD(ROW(H5:H161)-2,3)=0))</f>
        <v>1</v>
      </c>
      <c r="J2" s="17">
        <f>I2+Sprint_7!J2</f>
        <v>6.1444444444444493</v>
      </c>
      <c r="K2" s="18" t="s">
        <v>8</v>
      </c>
      <c r="L2" s="19">
        <f t="array" ref="L2">SUM(K5:K161*(MOD(ROW(K5:K161)-2,3)=0))</f>
        <v>1.3124999999999982</v>
      </c>
      <c r="M2" s="20">
        <f>L2+Sprint_7!M2</f>
        <v>7.695138888888895</v>
      </c>
      <c r="N2" s="21" t="s">
        <v>2</v>
      </c>
      <c r="O2" s="22">
        <f>C2+F2+I2+L2</f>
        <v>4.9270833333333321</v>
      </c>
    </row>
    <row r="3" spans="1:15" ht="15" customHeight="1">
      <c r="A3" s="115" t="s">
        <v>92</v>
      </c>
      <c r="B3" s="23">
        <v>0.53125</v>
      </c>
      <c r="C3" s="116" t="s">
        <v>9</v>
      </c>
      <c r="D3" s="116"/>
      <c r="E3" s="24">
        <v>0.53125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0.53125</v>
      </c>
      <c r="L3" s="119" t="s">
        <v>9</v>
      </c>
      <c r="M3" s="119"/>
      <c r="N3" s="27" t="s">
        <v>3</v>
      </c>
      <c r="O3" s="28">
        <f>D2+G2+J2+M2</f>
        <v>22.328472222222238</v>
      </c>
    </row>
    <row r="4" spans="1:15">
      <c r="A4" s="115"/>
      <c r="B4" s="29">
        <v>0.64583333333333337</v>
      </c>
      <c r="C4" s="116"/>
      <c r="D4" s="116"/>
      <c r="E4" s="30">
        <v>0.64583333333333337</v>
      </c>
      <c r="F4" s="117"/>
      <c r="G4" s="117"/>
      <c r="H4" s="31">
        <v>0.64583333333333337</v>
      </c>
      <c r="I4" s="118"/>
      <c r="J4" s="118"/>
      <c r="K4" s="32">
        <v>0.64583333333333304</v>
      </c>
      <c r="L4" s="119"/>
      <c r="M4" s="119"/>
    </row>
    <row r="5" spans="1:15">
      <c r="A5" s="115"/>
      <c r="B5" s="33">
        <f>B4-B3</f>
        <v>0.11458333333333337</v>
      </c>
      <c r="C5" s="34"/>
      <c r="D5" s="35"/>
      <c r="E5" s="36">
        <f>E4-E3</f>
        <v>0.11458333333333337</v>
      </c>
      <c r="F5" s="37"/>
      <c r="G5" s="38"/>
      <c r="H5" s="39">
        <f>H4-H3</f>
        <v>0.11458333333333337</v>
      </c>
      <c r="I5" s="40"/>
      <c r="J5" s="41"/>
      <c r="K5" s="42">
        <f>K4-K3</f>
        <v>0.11458333333333304</v>
      </c>
      <c r="L5" s="43"/>
      <c r="M5" s="44"/>
    </row>
    <row r="6" spans="1:15" ht="15" customHeight="1">
      <c r="A6" s="115">
        <v>44928</v>
      </c>
      <c r="B6" s="23">
        <v>0.33333333333333331</v>
      </c>
      <c r="C6" s="116" t="s">
        <v>9</v>
      </c>
      <c r="D6" s="116"/>
      <c r="E6" s="24">
        <v>0.33333333333333331</v>
      </c>
      <c r="F6" s="117" t="s">
        <v>9</v>
      </c>
      <c r="G6" s="117"/>
      <c r="H6" s="25">
        <v>0.33333333333333331</v>
      </c>
      <c r="I6" s="118" t="s">
        <v>9</v>
      </c>
      <c r="J6" s="118"/>
      <c r="K6" s="45">
        <v>0.33333333333333298</v>
      </c>
      <c r="L6" s="119" t="s">
        <v>9</v>
      </c>
      <c r="M6" s="119"/>
    </row>
    <row r="7" spans="1:15">
      <c r="A7" s="115"/>
      <c r="B7" s="29">
        <v>0.45833333333333331</v>
      </c>
      <c r="C7" s="116"/>
      <c r="D7" s="116"/>
      <c r="E7" s="30">
        <v>0.45833333333333331</v>
      </c>
      <c r="F7" s="117"/>
      <c r="G7" s="117"/>
      <c r="H7" s="31">
        <v>0.45833333333333331</v>
      </c>
      <c r="I7" s="118"/>
      <c r="J7" s="118"/>
      <c r="K7" s="32">
        <v>0.45833333333333298</v>
      </c>
      <c r="L7" s="119"/>
      <c r="M7" s="119"/>
    </row>
    <row r="8" spans="1:15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0.125</v>
      </c>
      <c r="I8" s="40"/>
      <c r="J8" s="41"/>
      <c r="K8" s="46">
        <f>K7-K6</f>
        <v>0.125</v>
      </c>
      <c r="L8" s="47"/>
      <c r="M8" s="48"/>
    </row>
    <row r="9" spans="1:15" ht="15" customHeight="1">
      <c r="A9" s="115">
        <v>45048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0.75</v>
      </c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0.83333333333333304</v>
      </c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8.3333333333333037E-2</v>
      </c>
      <c r="L11" s="47"/>
      <c r="M11" s="48"/>
    </row>
    <row r="12" spans="1:15" ht="15" customHeight="1">
      <c r="A12" s="115">
        <v>45109</v>
      </c>
      <c r="B12" s="23">
        <v>0.5</v>
      </c>
      <c r="C12" s="116" t="s">
        <v>9</v>
      </c>
      <c r="D12" s="116"/>
      <c r="E12" s="24">
        <v>0.52083333333333337</v>
      </c>
      <c r="F12" s="117" t="s">
        <v>9</v>
      </c>
      <c r="G12" s="117"/>
      <c r="H12" s="25">
        <v>0.5</v>
      </c>
      <c r="I12" s="118" t="s">
        <v>9</v>
      </c>
      <c r="J12" s="118"/>
      <c r="K12" s="49">
        <v>0.5</v>
      </c>
      <c r="L12" s="119" t="s">
        <v>9</v>
      </c>
      <c r="M12" s="119"/>
    </row>
    <row r="13" spans="1:15">
      <c r="A13" s="115"/>
      <c r="B13" s="29">
        <v>0.64583333333333337</v>
      </c>
      <c r="C13" s="116"/>
      <c r="D13" s="116"/>
      <c r="E13" s="30">
        <v>0.64583333333333337</v>
      </c>
      <c r="F13" s="117"/>
      <c r="G13" s="117"/>
      <c r="H13" s="31">
        <v>0.625</v>
      </c>
      <c r="I13" s="118"/>
      <c r="J13" s="118"/>
      <c r="K13" s="50">
        <v>0.64583333333333304</v>
      </c>
      <c r="L13" s="119"/>
      <c r="M13" s="119"/>
    </row>
    <row r="14" spans="1:15">
      <c r="A14" s="115"/>
      <c r="B14" s="33">
        <f>(B13-B12)</f>
        <v>0.14583333333333337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0.14583333333333304</v>
      </c>
      <c r="L14" s="51"/>
      <c r="M14" s="52"/>
    </row>
    <row r="15" spans="1:15" ht="15" customHeight="1">
      <c r="A15" s="115">
        <v>45140</v>
      </c>
      <c r="B15" s="23">
        <v>0.33333333333333331</v>
      </c>
      <c r="C15" s="116" t="s">
        <v>9</v>
      </c>
      <c r="D15" s="116"/>
      <c r="E15" s="24">
        <v>0.33333333333333331</v>
      </c>
      <c r="F15" s="117" t="s">
        <v>9</v>
      </c>
      <c r="G15" s="117"/>
      <c r="H15" s="25">
        <v>0.33333333333333331</v>
      </c>
      <c r="I15" s="118" t="s">
        <v>9</v>
      </c>
      <c r="J15" s="118"/>
      <c r="K15" s="26">
        <v>0.33333333333333298</v>
      </c>
      <c r="L15" s="119" t="s">
        <v>9</v>
      </c>
      <c r="M15" s="119"/>
    </row>
    <row r="16" spans="1:15">
      <c r="A16" s="115"/>
      <c r="B16" s="29">
        <v>0.45833333333333331</v>
      </c>
      <c r="C16" s="116"/>
      <c r="D16" s="116"/>
      <c r="E16" s="30">
        <v>0.45833333333333331</v>
      </c>
      <c r="F16" s="117"/>
      <c r="G16" s="117"/>
      <c r="H16" s="31">
        <v>0.45833333333333331</v>
      </c>
      <c r="I16" s="118"/>
      <c r="J16" s="118"/>
      <c r="K16" s="32">
        <v>0.45833333333333298</v>
      </c>
      <c r="L16" s="119"/>
      <c r="M16" s="119"/>
    </row>
    <row r="17" spans="1:13">
      <c r="A17" s="115"/>
      <c r="B17" s="33">
        <f>(B16-B15)</f>
        <v>0.125</v>
      </c>
      <c r="C17" s="34"/>
      <c r="D17" s="35"/>
      <c r="E17" s="36">
        <f>E16-E15</f>
        <v>0.125</v>
      </c>
      <c r="F17" s="37"/>
      <c r="G17" s="38"/>
      <c r="H17" s="39">
        <f>H16-H15</f>
        <v>0.125</v>
      </c>
      <c r="I17" s="40"/>
      <c r="J17" s="41"/>
      <c r="K17" s="46">
        <f>K16-K15</f>
        <v>0.125</v>
      </c>
      <c r="L17" s="47"/>
      <c r="M17" s="48"/>
    </row>
    <row r="18" spans="1:13" ht="15" customHeight="1">
      <c r="A18" s="115">
        <v>45262</v>
      </c>
      <c r="B18" s="23">
        <v>0.625</v>
      </c>
      <c r="C18" s="116" t="s">
        <v>9</v>
      </c>
      <c r="D18" s="116"/>
      <c r="E18" s="24">
        <v>0.61458333333333337</v>
      </c>
      <c r="F18" s="117" t="s">
        <v>9</v>
      </c>
      <c r="G18" s="117"/>
      <c r="H18" s="25"/>
      <c r="I18" s="118" t="s">
        <v>9</v>
      </c>
      <c r="J18" s="118"/>
      <c r="K18" s="49">
        <v>0.60416666666666696</v>
      </c>
      <c r="L18" s="119" t="s">
        <v>9</v>
      </c>
      <c r="M18" s="119"/>
    </row>
    <row r="19" spans="1:13">
      <c r="A19" s="115"/>
      <c r="B19" s="29">
        <v>0.75</v>
      </c>
      <c r="C19" s="116"/>
      <c r="D19" s="116"/>
      <c r="E19" s="30">
        <v>0.73958333333333337</v>
      </c>
      <c r="F19" s="117"/>
      <c r="G19" s="117"/>
      <c r="H19" s="31"/>
      <c r="I19" s="118"/>
      <c r="J19" s="118"/>
      <c r="K19" s="32">
        <v>0.72916666666666696</v>
      </c>
      <c r="L19" s="119"/>
      <c r="M19" s="119"/>
    </row>
    <row r="20" spans="1:13">
      <c r="A20" s="115"/>
      <c r="B20" s="33">
        <f>(B19-B18)</f>
        <v>0.125</v>
      </c>
      <c r="C20" s="34"/>
      <c r="D20" s="35"/>
      <c r="E20" s="36">
        <f>E19-E18</f>
        <v>0.125</v>
      </c>
      <c r="F20" s="37"/>
      <c r="G20" s="38"/>
      <c r="H20" s="39">
        <f>H19-H18</f>
        <v>0</v>
      </c>
      <c r="I20" s="40"/>
      <c r="J20" s="41"/>
      <c r="K20" s="46">
        <f>K19-K18</f>
        <v>0.125</v>
      </c>
      <c r="L20" s="47"/>
      <c r="M20" s="48"/>
    </row>
    <row r="21" spans="1:13" ht="15" customHeight="1">
      <c r="A21" s="115" t="s">
        <v>93</v>
      </c>
      <c r="B21" s="23">
        <v>0.53125</v>
      </c>
      <c r="C21" s="116" t="s">
        <v>9</v>
      </c>
      <c r="D21" s="116"/>
      <c r="E21" s="24">
        <v>0.53125</v>
      </c>
      <c r="F21" s="117" t="s">
        <v>9</v>
      </c>
      <c r="G21" s="117"/>
      <c r="H21" s="25">
        <v>0.53125</v>
      </c>
      <c r="I21" s="118" t="s">
        <v>9</v>
      </c>
      <c r="J21" s="118"/>
      <c r="K21" s="26">
        <v>0.53125</v>
      </c>
      <c r="L21" s="119" t="s">
        <v>9</v>
      </c>
      <c r="M21" s="119"/>
    </row>
    <row r="22" spans="1:13">
      <c r="A22" s="115"/>
      <c r="B22" s="29">
        <v>0.64583333333333337</v>
      </c>
      <c r="C22" s="116"/>
      <c r="D22" s="116"/>
      <c r="E22" s="30">
        <v>0.64583333333333337</v>
      </c>
      <c r="F22" s="117"/>
      <c r="G22" s="117"/>
      <c r="H22" s="31">
        <v>0.64583333333333337</v>
      </c>
      <c r="I22" s="118"/>
      <c r="J22" s="118"/>
      <c r="K22" s="50">
        <v>0.64583333333333304</v>
      </c>
      <c r="L22" s="119"/>
      <c r="M22" s="119"/>
    </row>
    <row r="23" spans="1:13">
      <c r="A23" s="115"/>
      <c r="B23" s="33">
        <f>(B22-B21)</f>
        <v>0.11458333333333337</v>
      </c>
      <c r="C23" s="34"/>
      <c r="D23" s="35"/>
      <c r="E23" s="36">
        <f>E22-E21</f>
        <v>0.11458333333333337</v>
      </c>
      <c r="F23" s="37"/>
      <c r="G23" s="38"/>
      <c r="H23" s="39">
        <f>H22-H21</f>
        <v>0.11458333333333337</v>
      </c>
      <c r="I23" s="40"/>
      <c r="J23" s="41"/>
      <c r="K23" s="53">
        <f>K22-K21</f>
        <v>0.11458333333333304</v>
      </c>
      <c r="L23" s="53"/>
      <c r="M23" s="54"/>
    </row>
    <row r="24" spans="1:13" ht="15" customHeight="1">
      <c r="A24" s="115" t="s">
        <v>94</v>
      </c>
      <c r="B24" s="23">
        <v>0.33333333333333331</v>
      </c>
      <c r="C24" s="116" t="s">
        <v>9</v>
      </c>
      <c r="D24" s="116"/>
      <c r="E24" s="24">
        <v>0.33333333333333331</v>
      </c>
      <c r="F24" s="117" t="s">
        <v>9</v>
      </c>
      <c r="G24" s="117"/>
      <c r="H24" s="25">
        <v>0.33333333333333331</v>
      </c>
      <c r="I24" s="118" t="s">
        <v>9</v>
      </c>
      <c r="J24" s="118"/>
      <c r="K24" s="26">
        <v>0.33333333333333298</v>
      </c>
      <c r="L24" s="119" t="s">
        <v>9</v>
      </c>
      <c r="M24" s="119"/>
    </row>
    <row r="25" spans="1:13">
      <c r="A25" s="115"/>
      <c r="B25" s="29">
        <v>0.45833333333333331</v>
      </c>
      <c r="C25" s="116"/>
      <c r="D25" s="116"/>
      <c r="E25" s="30">
        <v>0.45833333333333331</v>
      </c>
      <c r="F25" s="117"/>
      <c r="G25" s="117"/>
      <c r="H25" s="31">
        <v>0.45833333333333331</v>
      </c>
      <c r="I25" s="118"/>
      <c r="J25" s="118"/>
      <c r="K25" s="32">
        <v>0.45833333333333298</v>
      </c>
      <c r="L25" s="119"/>
      <c r="M25" s="119"/>
    </row>
    <row r="26" spans="1:13">
      <c r="A26" s="115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0.125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 t="s">
        <v>95</v>
      </c>
      <c r="B30" s="23">
        <v>0.5</v>
      </c>
      <c r="C30" s="116" t="s">
        <v>9</v>
      </c>
      <c r="D30" s="116"/>
      <c r="E30" s="24">
        <v>0.52083333333333337</v>
      </c>
      <c r="F30" s="117" t="s">
        <v>9</v>
      </c>
      <c r="G30" s="117"/>
      <c r="H30" s="25">
        <v>0.5</v>
      </c>
      <c r="I30" s="118" t="s">
        <v>9</v>
      </c>
      <c r="J30" s="118"/>
      <c r="K30" s="26">
        <v>0.5</v>
      </c>
      <c r="L30" s="119" t="s">
        <v>9</v>
      </c>
      <c r="M30" s="119"/>
    </row>
    <row r="31" spans="1:13">
      <c r="A31" s="115"/>
      <c r="B31" s="29">
        <v>0.64583333333333337</v>
      </c>
      <c r="C31" s="116"/>
      <c r="D31" s="116"/>
      <c r="E31" s="30">
        <v>0.64583333333333337</v>
      </c>
      <c r="F31" s="117"/>
      <c r="G31" s="117"/>
      <c r="H31" s="31">
        <v>0.64583333333333337</v>
      </c>
      <c r="I31" s="118"/>
      <c r="J31" s="118"/>
      <c r="K31" s="50">
        <v>0.64583333333333304</v>
      </c>
      <c r="L31" s="119"/>
      <c r="M31" s="119"/>
    </row>
    <row r="32" spans="1:13">
      <c r="A32" s="115"/>
      <c r="B32" s="33">
        <f>(B31-B30)</f>
        <v>0.14583333333333337</v>
      </c>
      <c r="C32" s="34"/>
      <c r="D32" s="35"/>
      <c r="E32" s="36">
        <f>E31-E30</f>
        <v>0.125</v>
      </c>
      <c r="F32" s="37"/>
      <c r="G32" s="38"/>
      <c r="H32" s="39">
        <f>H31-H30</f>
        <v>0.14583333333333337</v>
      </c>
      <c r="I32" s="40"/>
      <c r="J32" s="41"/>
      <c r="K32" s="53">
        <f>K31-K30</f>
        <v>0.14583333333333304</v>
      </c>
      <c r="L32" s="53"/>
      <c r="M32" s="54"/>
    </row>
    <row r="33" spans="1:13" ht="15" customHeight="1">
      <c r="A33" s="115">
        <v>44929</v>
      </c>
      <c r="B33" s="23">
        <v>0.33333333333333331</v>
      </c>
      <c r="C33" s="116" t="s">
        <v>9</v>
      </c>
      <c r="D33" s="116"/>
      <c r="E33" s="24">
        <v>0.33333333333333331</v>
      </c>
      <c r="F33" s="117" t="s">
        <v>9</v>
      </c>
      <c r="G33" s="117"/>
      <c r="H33" s="25">
        <v>0.33333333333333331</v>
      </c>
      <c r="I33" s="118" t="s">
        <v>9</v>
      </c>
      <c r="J33" s="118"/>
      <c r="K33" s="26">
        <v>0.33333333333333298</v>
      </c>
      <c r="L33" s="119" t="s">
        <v>9</v>
      </c>
      <c r="M33" s="119"/>
    </row>
    <row r="34" spans="1:13">
      <c r="A34" s="115"/>
      <c r="B34" s="29">
        <v>0.45833333333333331</v>
      </c>
      <c r="C34" s="116"/>
      <c r="D34" s="116"/>
      <c r="E34" s="30">
        <v>0.45833333333333331</v>
      </c>
      <c r="F34" s="117"/>
      <c r="G34" s="117"/>
      <c r="H34" s="31">
        <v>0.45833333333333331</v>
      </c>
      <c r="I34" s="118"/>
      <c r="J34" s="118"/>
      <c r="K34" s="32">
        <v>0.45833333333333298</v>
      </c>
      <c r="L34" s="119"/>
      <c r="M34" s="119"/>
    </row>
    <row r="35" spans="1:13">
      <c r="A35" s="115"/>
      <c r="B35" s="33">
        <f>(B34-B33)</f>
        <v>0.125</v>
      </c>
      <c r="C35" s="34"/>
      <c r="D35" s="35"/>
      <c r="E35" s="36">
        <f>E34-E33</f>
        <v>0.125</v>
      </c>
      <c r="F35" s="37"/>
      <c r="G35" s="38"/>
      <c r="H35" s="39">
        <f>H34-H33</f>
        <v>0.125</v>
      </c>
      <c r="I35" s="40"/>
      <c r="J35" s="41"/>
      <c r="K35" s="46">
        <f>K34-K33</f>
        <v>0.125</v>
      </c>
      <c r="L35" s="47"/>
      <c r="M35" s="48"/>
    </row>
    <row r="36" spans="1:13" ht="15" customHeight="1">
      <c r="A36" s="115">
        <v>45049</v>
      </c>
      <c r="B36" s="23">
        <v>0.625</v>
      </c>
      <c r="C36" s="116" t="s">
        <v>9</v>
      </c>
      <c r="D36" s="116"/>
      <c r="E36" s="24">
        <v>0.61458333333333337</v>
      </c>
      <c r="F36" s="117" t="s">
        <v>9</v>
      </c>
      <c r="G36" s="117"/>
      <c r="H36" s="25"/>
      <c r="I36" s="118" t="s">
        <v>9</v>
      </c>
      <c r="J36" s="118"/>
      <c r="K36" s="49">
        <v>0.625</v>
      </c>
      <c r="L36" s="119" t="s">
        <v>9</v>
      </c>
      <c r="M36" s="119"/>
    </row>
    <row r="37" spans="1:13">
      <c r="A37" s="115"/>
      <c r="B37" s="29">
        <v>0.83333333333333337</v>
      </c>
      <c r="C37" s="116"/>
      <c r="D37" s="116"/>
      <c r="E37" s="30">
        <v>0.77083333333333337</v>
      </c>
      <c r="F37" s="117"/>
      <c r="G37" s="117"/>
      <c r="H37" s="31"/>
      <c r="I37" s="118"/>
      <c r="J37" s="118"/>
      <c r="K37" s="32">
        <v>0.70833333333333304</v>
      </c>
      <c r="L37" s="119"/>
      <c r="M37" s="119"/>
    </row>
    <row r="38" spans="1:13">
      <c r="A38" s="115"/>
      <c r="B38" s="33">
        <f>(B37-B36)</f>
        <v>0.20833333333333337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8.3333333333333037E-2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/>
  <cp:revision>22</cp:revision>
  <dcterms:created xsi:type="dcterms:W3CDTF">2015-06-05T18:19:34Z</dcterms:created>
  <dcterms:modified xsi:type="dcterms:W3CDTF">2023-03-07T11:38:20Z</dcterms:modified>
  <cp:category/>
  <cp:contentStatus/>
</cp:coreProperties>
</file>