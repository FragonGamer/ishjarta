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5.xml.rels" ContentType="application/vnd.openxmlformats-package.relationships+xml"/>
  <Override PartName="/xl/worksheets/_rels/sheet1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15.xml" ContentType="application/vnd.openxmlformats-officedocument.spreadsheetml.worksheet+xml"/>
  <Override PartName="/xl/worksheets/sheet6.xml" ContentType="application/vnd.openxmlformats-officedocument.spreadsheetml.worksheet+xml"/>
  <Override PartName="/xl/worksheets/sheet14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4"/>
  </bookViews>
  <sheets>
    <sheet name="Vorlage" sheetId="1" state="visible" r:id="rId3"/>
    <sheet name="Sprint_1" sheetId="2" state="visible" r:id="rId4"/>
    <sheet name="Sprint_2" sheetId="3" state="visible" r:id="rId5"/>
    <sheet name="Sprint_3" sheetId="4" state="visible" r:id="rId6"/>
    <sheet name="Sprint_4" sheetId="5" state="visible" r:id="rId7"/>
    <sheet name="Sprint_5" sheetId="6" state="visible" r:id="rId8"/>
    <sheet name="Sprint_6" sheetId="7" state="visible" r:id="rId9"/>
    <sheet name="Sprint_7_alt" sheetId="8" state="visible" r:id="rId10"/>
    <sheet name="Sprint_7" sheetId="9" state="visible" r:id="rId11"/>
    <sheet name="Sprint_8" sheetId="10" state="visible" r:id="rId12"/>
    <sheet name="Sprint_9" sheetId="11" state="visible" r:id="rId13"/>
    <sheet name="Sprint_10" sheetId="12" state="visible" r:id="rId14"/>
    <sheet name="Sprint_11" sheetId="13" state="visible" r:id="rId15"/>
    <sheet name="Sprint_12" sheetId="14" state="visible" r:id="rId16"/>
    <sheet name="Sprint_13" sheetId="15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<sst xmlns="http://schemas.openxmlformats.org/spreadsheetml/2006/main" count="2271" uniqueCount="86">
  <si>
    <t xml:space="preserve">Datum</t>
  </si>
  <si>
    <t xml:space="preserve">Name</t>
  </si>
  <si>
    <t xml:space="preserve">Sprint-Zeit</t>
  </si>
  <si>
    <t xml:space="preserve">Projekt-Zeit</t>
  </si>
  <si>
    <t xml:space="preserve">TEAM</t>
  </si>
  <si>
    <t xml:space="preserve">Balog Danijel</t>
  </si>
  <si>
    <t xml:space="preserve">Felix Hinterleitner</t>
  </si>
  <si>
    <t xml:space="preserve">Habibovic Sandin</t>
  </si>
  <si>
    <t xml:space="preserve">Jahn Kevin</t>
  </si>
  <si>
    <t xml:space="preserve">Aufgabe: 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</si>
  <si>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</si>
  <si>
    <t xml:space="preserve">Dworzak Ian</t>
  </si>
  <si>
    <t xml:space="preserve">Aufgabe: #27, Sprint-Rewiev</t>
  </si>
  <si>
    <t xml:space="preserve">Aufgabe: #11</t>
  </si>
  <si>
    <t xml:space="preserve">Aufgabe: #24, #30 </t>
  </si>
  <si>
    <t xml:space="preserve">Aufgabe: #23</t>
  </si>
  <si>
    <t xml:space="preserve">Aufgabe: #31, #30, #11, #13</t>
  </si>
  <si>
    <t xml:space="preserve">Aufgabe: #28, #8 </t>
  </si>
  <si>
    <t xml:space="preserve">Aufgabe: Sprint Review, Zeitaufzeichnung</t>
  </si>
  <si>
    <t xml:space="preserve">Aufgabe: Sprint Review</t>
  </si>
  <si>
    <t xml:space="preserve">Aufgabe: Storyboard</t>
  </si>
  <si>
    <t xml:space="preserve">Aufgabe: Storyboard, #32</t>
  </si>
  <si>
    <t xml:space="preserve">Ganze-Zeit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</si>
  <si>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</si>
  <si>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</si>
  <si>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</si>
  <si>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Minimap, auf das neue Unity Input System wechseln.</t>
    </r>
  </si>
  <si>
    <t xml:space="preserve">Aufgabe: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</si>
  <si>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</si>
  <si>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</si>
  <si>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</si>
  <si>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</si>
  <si>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Status Effekte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</si>
  <si>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new Enemy Type</t>
    </r>
  </si>
  <si>
    <t xml:space="preserve">Aufgabe: Status Effekte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</si>
  <si>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additions to the HUD</t>
    </r>
  </si>
  <si>
    <t xml:space="preserve">Aufgabe: Stage layout generation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</si>
  <si>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</si>
  <si>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Effekt System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</si>
  <si>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</si>
  <si>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</si>
  <si>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</si>
  <si>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Level Generation</t>
    </r>
  </si>
  <si>
    <t xml:space="preserve">Aufgabe: Effekt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</si>
  <si>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Sprites Zeichnen</t>
    </r>
  </si>
  <si>
    <t xml:space="preserve">Aufgabe: Sprites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</si>
  <si>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Level 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</si>
  <si>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Save System</t>
    </r>
  </si>
  <si>
    <t xml:space="preserve">Aufgabe: Save System</t>
  </si>
  <si>
    <t xml:space="preserve">Aufgabe: Save System, Gegner Kampf System</t>
  </si>
  <si>
    <t xml:space="preserve">Aufgabe: Gegner Kampf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</si>
  <si>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Main Menu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</si>
  <si>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 Zeichnen</t>
    </r>
  </si>
  <si>
    <t xml:space="preserve">Aufgabe: Main Menu</t>
  </si>
  <si>
    <t xml:space="preserve">Aufgabe: Use-Case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</si>
  <si>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Use-Case</t>
    </r>
  </si>
  <si>
    <t xml:space="preserve">Aufgabe: Sprite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</si>
  <si>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</si>
  <si>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</si>
  <si>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</si>
  <si>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#75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</si>
  <si>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</si>
  <si>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#76</t>
    </r>
  </si>
  <si>
    <t xml:space="preserve">Aufgabe: #69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</si>
  <si>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familiarisierung mit dem spiel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</si>
  <si>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Sprint-Review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</si>
  <si>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Playtesting aufsetzen</t>
    </r>
    <r>
      <rPr>
        <b val="true"/>
        <sz val="11"/>
        <color rgb="FF000000"/>
        <rFont val="Calibri"/>
        <family val="2"/>
        <charset val="1"/>
      </rPr>
      <t xml:space="preserve">, bugfixing</t>
    </r>
  </si>
  <si>
    <t xml:space="preserve">Aufgabe:bug fix</t>
  </si>
  <si>
    <t xml:space="preserve">Aufgabe: Arbeit an Sound FX</t>
  </si>
  <si>
    <t xml:space="preserve">24/09/2022</t>
  </si>
  <si>
    <t xml:space="preserve">25/09/2022</t>
  </si>
  <si>
    <t xml:space="preserve">27.09.2022</t>
  </si>
  <si>
    <t xml:space="preserve">28.09.2022</t>
  </si>
  <si>
    <t xml:space="preserve">4.10.2022</t>
  </si>
  <si>
    <t xml:space="preserve">5.10.2022</t>
  </si>
  <si>
    <t xml:space="preserve">08.10.2022</t>
  </si>
  <si>
    <t xml:space="preserve">09.10.2022</t>
  </si>
  <si>
    <t xml:space="preserve">Aufgabe: Sprites Animieren</t>
  </si>
  <si>
    <t xml:space="preserve">Aufgabe: Addressable Assets lernen</t>
  </si>
  <si>
    <t xml:space="preserve">Aufgabe: Addressable Assets lernen /implementieren</t>
  </si>
  <si>
    <t xml:space="preserve">Aufgabe: Zeitaufzeichnung, Umstrukturierung</t>
  </si>
  <si>
    <t xml:space="preserve">Aufgabe: Projekt Umstrukturierung</t>
  </si>
  <si>
    <t xml:space="preserve">Aufgabe: Skelett und Mensch gezeichnet</t>
  </si>
  <si>
    <t xml:space="preserve">Aufgabe: Umstieg auf Addressables</t>
  </si>
  <si>
    <t xml:space="preserve">Aufgabe: Bugfixing vom Umstieg</t>
  </si>
  <si>
    <t xml:space="preserve">Aufgabe: Bugfixing bei Audio Skripten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</si>
</sst>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hh:mm&quot; Uhr&quot;;@"/>
    <numFmt numFmtId="166" formatCode="[h]:mm"/>
    <numFmt numFmtId="167" formatCode="m/d/yyyy"/>
    <numFmt numFmtId="168" formatCode="[h]:mm&quot; Uhr&quot;"/>
    <numFmt numFmtId="169" formatCode="hh:mm&quot; Uhr&quot;"/>
    <numFmt numFmtId="170" formatCode="dd\.mm\.yyyy;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1"/>
      <name val="Calibri"/>
      <family val="0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 diagonalUp="false" diagonalDown="false">
      <left/>
      <right/>
      <top/>
      <bottom/>
      <diagonal/>
    </border>
    <border diagonalUp="false" diagonalDown="false">
      <left/>
      <right style="thick"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/>
      <bottom style="thick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ck"/>
      <right/>
      <top/>
      <bottom style="thick"/>
      <diagonal/>
    </border>
    <border diagonalUp="false" diagonalDown="false">
      <left style="medium"/>
      <right style="medium"/>
      <top style="thick"/>
      <bottom style="thick"/>
      <diagonal/>
    </border>
    <border diagonalUp="false" diagonalDown="false">
      <left style="thick"/>
      <right style="medium"/>
      <top style="thick"/>
      <bottom style="thick"/>
      <diagonal/>
    </border>
    <border diagonalUp="false" diagonalDown="false">
      <left style="medium"/>
      <right style="thick"/>
      <top style="thick"/>
      <bottom style="thick"/>
      <diagonal/>
    </border>
    <border diagonalUp="false" diagonalDown="false">
      <left style="thick"/>
      <right style="thin"/>
      <top/>
      <bottom style="thin"/>
      <diagonal/>
    </border>
    <border diagonalUp="false" diagonalDown="false">
      <left style="thin"/>
      <right style="thick"/>
      <top/>
      <bottom style="thin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/>
      <right style="thin"/>
      <top style="thick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/>
      <top style="thick"/>
      <bottom style="thick"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ck"/>
      <diagonal/>
    </border>
    <border diagonalUp="false" diagonalDown="false">
      <left/>
      <right style="thick"/>
      <top/>
      <bottom/>
      <diagonal/>
    </border>
    <border diagonalUp="false" diagonalDown="false">
      <left style="thick"/>
      <right style="thin"/>
      <top/>
      <bottom style="thick"/>
      <diagonal/>
    </border>
    <border diagonalUp="false" diagonalDown="false">
      <left style="thick"/>
      <right style="medium"/>
      <top/>
      <bottom style="thick"/>
      <diagonal/>
    </border>
    <border diagonalUp="false" diagonalDown="false">
      <left style="medium"/>
      <right style="thick"/>
      <top/>
      <bottom style="thick"/>
      <diagonal/>
    </border>
    <border diagonalUp="false" diagonalDown="false">
      <left/>
      <right style="thick"/>
      <top style="thin"/>
      <bottom style="thick"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ck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n"/>
      <right style="thick"/>
      <top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ck"/>
      <top style="thick"/>
      <bottom style="thin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</cellStyleXfs>
  <cellXfs count="1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6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7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7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7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8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8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8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9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9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9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0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0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4" borderId="12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5" borderId="1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9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8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9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1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8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9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1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12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8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9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23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2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5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1" xfId="24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6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1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6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9" xfId="24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9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0" fillId="5" borderId="15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4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4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4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9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1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5" borderId="3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4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7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5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6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6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1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34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4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40% - Accent4" xfId="20"/>
    <cellStyle name="Excel Built-in 40% - Accent2" xfId="21"/>
    <cellStyle name="Excel Built-in 40% - Accent5" xfId="22"/>
    <cellStyle name="Excel Built-in 40% - Accent6" xfId="23"/>
    <cellStyle name="Excel Built-in 20% - Accent3" xfId="24"/>
    <cellStyle name="Excel Built-in 20% - Accent4" xfId="25"/>
    <cellStyle name="Excel Built-in 20% - Accent2" xfId="26"/>
    <cellStyle name="Excel Built-in 20% - Accent5" xfId="27"/>
    <cellStyle name="Excel Built-in 20% - Accent6" xfId="28"/>
  </cellStyles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642600</xdr:colOff>
      <xdr:row>6</xdr:row>
      <xdr:rowOff>168480</xdr:rowOff>
    </xdr:to>
    <xdr:sp>
      <xdr:nvSpPr>
        <xdr:cNvPr id="0" name="Rechteck 1"/>
        <xdr:cNvSpPr/>
      </xdr:nvSpPr>
      <xdr:spPr>
        <a:xfrm>
          <a:off x="15180120" y="973800"/>
          <a:ext cx="1441800" cy="29952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latin typeface="Calibri"/>
            </a:rPr>
            <a:t>Add_Sprint</a:t>
          </a:r>
          <a:endParaRPr b="0" lang="en-US" sz="1100" spc="-1" strike="noStrike">
            <a:latin typeface="FreeSerif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642600</xdr:colOff>
      <xdr:row>6</xdr:row>
      <xdr:rowOff>168480</xdr:rowOff>
    </xdr:to>
    <xdr:sp>
      <xdr:nvSpPr>
        <xdr:cNvPr id="1" name="Rechteck 1"/>
        <xdr:cNvSpPr/>
      </xdr:nvSpPr>
      <xdr:spPr>
        <a:xfrm>
          <a:off x="15180120" y="1011960"/>
          <a:ext cx="1441800" cy="29952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latin typeface="Calibri"/>
            </a:rPr>
            <a:t>Add_Sprint</a:t>
          </a:r>
          <a:endParaRPr b="0" lang="en-US" sz="1100" spc="-1" strike="noStrike">
            <a:latin typeface="FreeSerif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3" colorId="64" zoomScale="90" zoomScaleNormal="90" zoomScalePageLayoutView="100" workbookViewId="0">
      <selection pane="topLeft" activeCell="N20" activeCellId="0" sqref="N2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</v>
      </c>
      <c r="D2" s="14" t="n">
        <f aca="false">C2+Sprint_7!D2</f>
        <v>5.74930555555556</v>
      </c>
      <c r="E2" s="15" t="s">
        <v>6</v>
      </c>
      <c r="F2" s="16" t="n">
        <f aca="false" t="array" ref="F2:F2">SUM(E5:E161*(MOD(ROW(E5:E161)-2,3)=0))</f>
        <v>0</v>
      </c>
      <c r="G2" s="17" t="n">
        <f aca="false">F2+Sprint_7!G2</f>
        <v>0.125</v>
      </c>
      <c r="H2" s="18" t="s">
        <v>7</v>
      </c>
      <c r="I2" s="19" t="n">
        <f aca="false" t="array" ref="I2:I2">SUM(H5:H161*(MOD(ROW(H5:H161)-2,3)=0))</f>
        <v>0</v>
      </c>
      <c r="J2" s="20" t="n">
        <f aca="false">I2+Sprint_7!J2</f>
        <v>5.14444444444445</v>
      </c>
      <c r="K2" s="21" t="s">
        <v>8</v>
      </c>
      <c r="L2" s="22" t="n">
        <f aca="false" t="array" ref="L2:L2">SUM(K5:K161*(MOD(ROW(K5:K161)-2,3)=0))</f>
        <v>0</v>
      </c>
      <c r="M2" s="23" t="n">
        <f aca="false">L2+Sprint_7!M2</f>
        <v>6.3826388888889</v>
      </c>
      <c r="N2" s="24" t="s">
        <v>2</v>
      </c>
      <c r="O2" s="25" t="n">
        <f aca="false">C2+F2+I2+L2</f>
        <v>0</v>
      </c>
    </row>
    <row r="3" customFormat="false" ht="15" hidden="false" customHeight="true" outlineLevel="0" collapsed="false">
      <c r="A3" s="26"/>
      <c r="B3" s="27"/>
      <c r="C3" s="28" t="s">
        <v>9</v>
      </c>
      <c r="D3" s="28"/>
      <c r="E3" s="29"/>
      <c r="F3" s="30" t="s">
        <v>9</v>
      </c>
      <c r="G3" s="30"/>
      <c r="H3" s="31"/>
      <c r="I3" s="32" t="s">
        <v>9</v>
      </c>
      <c r="J3" s="32"/>
      <c r="K3" s="33"/>
      <c r="L3" s="34" t="s">
        <v>9</v>
      </c>
      <c r="M3" s="34"/>
      <c r="N3" s="35" t="s">
        <v>3</v>
      </c>
      <c r="O3" s="36" t="n">
        <f aca="false">D2+G2+J2+M2</f>
        <v>17.4013888888889</v>
      </c>
    </row>
    <row r="4" customFormat="false" ht="14.25" hidden="false" customHeight="false" outlineLevel="0" collapsed="false">
      <c r="A4" s="26"/>
      <c r="B4" s="37"/>
      <c r="C4" s="28"/>
      <c r="D4" s="28"/>
      <c r="E4" s="38"/>
      <c r="F4" s="30"/>
      <c r="G4" s="30"/>
      <c r="H4" s="39"/>
      <c r="I4" s="32"/>
      <c r="J4" s="32"/>
      <c r="K4" s="40"/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</v>
      </c>
      <c r="I5" s="48"/>
      <c r="J5" s="49"/>
      <c r="K5" s="50" t="n">
        <f aca="false">K4-K3</f>
        <v>0</v>
      </c>
      <c r="L5" s="51"/>
      <c r="M5" s="52"/>
    </row>
    <row r="6" customFormat="false" ht="15" hidden="false" customHeight="true" outlineLevel="0" collapsed="false">
      <c r="A6" s="26"/>
      <c r="B6" s="27"/>
      <c r="C6" s="28" t="s">
        <v>9</v>
      </c>
      <c r="D6" s="28"/>
      <c r="E6" s="29"/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/>
      <c r="C7" s="28"/>
      <c r="D7" s="28"/>
      <c r="E7" s="38"/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/>
      <c r="B9" s="27"/>
      <c r="C9" s="28" t="s">
        <v>9</v>
      </c>
      <c r="D9" s="28"/>
      <c r="E9" s="29"/>
      <c r="F9" s="30" t="s">
        <v>9</v>
      </c>
      <c r="G9" s="30"/>
      <c r="H9" s="31"/>
      <c r="I9" s="32" t="s">
        <v>9</v>
      </c>
      <c r="J9" s="32"/>
      <c r="K9" s="57"/>
      <c r="L9" s="34" t="s">
        <v>9</v>
      </c>
      <c r="M9" s="34"/>
    </row>
    <row r="10" customFormat="false" ht="14.25" hidden="false" customHeight="false" outlineLevel="0" collapsed="false">
      <c r="A10" s="26"/>
      <c r="B10" s="37"/>
      <c r="C10" s="28"/>
      <c r="D10" s="28"/>
      <c r="E10" s="38"/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/>
      <c r="B12" s="27"/>
      <c r="C12" s="28" t="s">
        <v>9</v>
      </c>
      <c r="D12" s="28"/>
      <c r="E12" s="29"/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/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28" t="s">
        <v>9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28" t="s">
        <v>9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45" activeCellId="0" sqref="B45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9" min="2" style="1" width="17.29"/>
  </cols>
  <sheetData>
    <row r="1" customFormat="false" ht="14.25" hidden="false" customHeight="false" outlineLevel="0" collapsed="false">
      <c r="A1" s="63"/>
      <c r="B1" s="64" t="s">
        <v>5</v>
      </c>
      <c r="C1" s="65" t="n">
        <f aca="false" t="array" ref="C1:C1">SUM(B4:B22*(MOD(ROW(B4:B22)-1,3)=0))</f>
        <v>0.333333333333334</v>
      </c>
      <c r="D1" s="66" t="s">
        <v>11</v>
      </c>
      <c r="E1" s="67" t="n">
        <f aca="false" t="array" ref="E1:E1">SUM(D4:D22*(MOD(ROW(D4:D22)-1,3)=0))</f>
        <v>0.333333333333334</v>
      </c>
      <c r="F1" s="68" t="s">
        <v>7</v>
      </c>
      <c r="G1" s="69" t="n">
        <f aca="false" t="array" ref="G1:G1">SUM(F4:F22*(MOD(ROW(F4:F22)-1,3)=0))</f>
        <v>0.333333333333334</v>
      </c>
      <c r="H1" s="70" t="s">
        <v>8</v>
      </c>
      <c r="I1" s="71" t="n">
        <f aca="false" t="array" ref="I1:I1">SUM(H4:H22*(MOD(ROW(H4:H22)-1,3)=0))</f>
        <v>0.333333333333334</v>
      </c>
    </row>
    <row r="2" customFormat="false" ht="14.25" hidden="false" customHeight="false" outlineLevel="0" collapsed="false">
      <c r="A2" s="72" t="n">
        <v>44535</v>
      </c>
      <c r="B2" s="73" t="n">
        <v>0.833333333333333</v>
      </c>
      <c r="C2" s="74"/>
      <c r="D2" s="29" t="n">
        <v>0.833333333333333</v>
      </c>
      <c r="E2" s="75" t="s">
        <v>9</v>
      </c>
      <c r="F2" s="31" t="n">
        <v>0.833333333333333</v>
      </c>
      <c r="G2" s="76" t="s">
        <v>9</v>
      </c>
      <c r="H2" s="53" t="n">
        <v>0.833333333333333</v>
      </c>
      <c r="I2" s="77" t="s">
        <v>9</v>
      </c>
    </row>
    <row r="3" customFormat="false" ht="14.25" hidden="false" customHeight="false" outlineLevel="0" collapsed="false">
      <c r="A3" s="72"/>
      <c r="B3" s="37" t="n">
        <v>1</v>
      </c>
      <c r="C3" s="74"/>
      <c r="D3" s="38" t="n">
        <v>1</v>
      </c>
      <c r="E3" s="75"/>
      <c r="F3" s="39" t="n">
        <v>1</v>
      </c>
      <c r="G3" s="76"/>
      <c r="H3" s="78" t="n">
        <v>1</v>
      </c>
      <c r="I3" s="77"/>
    </row>
    <row r="4" customFormat="false" ht="14.25" hidden="false" customHeight="false" outlineLevel="0" collapsed="false">
      <c r="A4" s="72"/>
      <c r="B4" s="79" t="n">
        <f aca="false">B3-B2</f>
        <v>0.166666666666667</v>
      </c>
      <c r="C4" s="79"/>
      <c r="D4" s="80" t="n">
        <f aca="false">D3-D2</f>
        <v>0.166666666666667</v>
      </c>
      <c r="E4" s="80"/>
      <c r="F4" s="81" t="n">
        <f aca="false">F3-F2</f>
        <v>0.166666666666667</v>
      </c>
      <c r="G4" s="81"/>
      <c r="H4" s="82" t="n">
        <f aca="false">H3-H2</f>
        <v>0.166666666666667</v>
      </c>
      <c r="I4" s="82"/>
    </row>
    <row r="5" customFormat="false" ht="14.25" hidden="false" customHeight="false" outlineLevel="0" collapsed="false">
      <c r="A5" s="72" t="n">
        <v>44542</v>
      </c>
      <c r="B5" s="73" t="n">
        <v>0.833333333333333</v>
      </c>
      <c r="C5" s="74"/>
      <c r="D5" s="29" t="n">
        <v>0.833333333333333</v>
      </c>
      <c r="E5" s="75" t="s">
        <v>9</v>
      </c>
      <c r="F5" s="31" t="n">
        <v>0.833333333333333</v>
      </c>
      <c r="G5" s="76" t="s">
        <v>9</v>
      </c>
      <c r="H5" s="53" t="n">
        <v>0.833333333333333</v>
      </c>
      <c r="I5" s="77" t="s">
        <v>9</v>
      </c>
    </row>
    <row r="6" customFormat="false" ht="14.25" hidden="false" customHeight="false" outlineLevel="0" collapsed="false">
      <c r="A6" s="72"/>
      <c r="B6" s="37" t="n">
        <v>1</v>
      </c>
      <c r="C6" s="74"/>
      <c r="D6" s="38" t="n">
        <v>1</v>
      </c>
      <c r="E6" s="75"/>
      <c r="F6" s="39" t="n">
        <v>1</v>
      </c>
      <c r="G6" s="76"/>
      <c r="H6" s="78" t="n">
        <v>1</v>
      </c>
      <c r="I6" s="77"/>
    </row>
    <row r="7" customFormat="false" ht="14.25" hidden="false" customHeight="false" outlineLevel="0" collapsed="false">
      <c r="A7" s="72"/>
      <c r="B7" s="79" t="n">
        <f aca="false">B6-B5</f>
        <v>0.166666666666667</v>
      </c>
      <c r="C7" s="79"/>
      <c r="D7" s="80" t="n">
        <f aca="false">D6-D5</f>
        <v>0.166666666666667</v>
      </c>
      <c r="E7" s="80"/>
      <c r="F7" s="81" t="n">
        <f aca="false">F6-F5</f>
        <v>0.166666666666667</v>
      </c>
      <c r="G7" s="81"/>
      <c r="H7" s="82" t="n">
        <f aca="false">H6-H5</f>
        <v>0.166666666666667</v>
      </c>
      <c r="I7" s="82"/>
    </row>
    <row r="8" customFormat="false" ht="14.25" hidden="false" customHeight="false" outlineLevel="0" collapsed="false">
      <c r="A8" s="72"/>
      <c r="B8" s="27"/>
      <c r="C8" s="74" t="s">
        <v>9</v>
      </c>
      <c r="D8" s="29"/>
      <c r="E8" s="75" t="s">
        <v>9</v>
      </c>
      <c r="F8" s="31"/>
      <c r="G8" s="76" t="s">
        <v>9</v>
      </c>
      <c r="H8" s="53"/>
      <c r="I8" s="77" t="s">
        <v>9</v>
      </c>
    </row>
    <row r="9" customFormat="false" ht="14.25" hidden="false" customHeight="false" outlineLevel="0" collapsed="false">
      <c r="A9" s="72"/>
      <c r="B9" s="37"/>
      <c r="C9" s="74"/>
      <c r="D9" s="38"/>
      <c r="E9" s="75"/>
      <c r="F9" s="39"/>
      <c r="G9" s="76"/>
      <c r="H9" s="78"/>
      <c r="I9" s="77"/>
    </row>
    <row r="10" customFormat="false" ht="14.25" hidden="false" customHeight="false" outlineLevel="0" collapsed="false">
      <c r="A10" s="72"/>
      <c r="B10" s="79" t="n">
        <f aca="false">(B9-B8)</f>
        <v>0</v>
      </c>
      <c r="C10" s="79"/>
      <c r="D10" s="80" t="n">
        <f aca="false">D9-D8</f>
        <v>0</v>
      </c>
      <c r="E10" s="80"/>
      <c r="F10" s="81" t="n">
        <f aca="false">F9-F8</f>
        <v>0</v>
      </c>
      <c r="G10" s="81"/>
      <c r="H10" s="82" t="n">
        <f aca="false">H9-H8</f>
        <v>0</v>
      </c>
      <c r="I10" s="82"/>
    </row>
    <row r="11" customFormat="false" ht="14.25" hidden="false" customHeight="false" outlineLevel="0" collapsed="false">
      <c r="A11" s="72"/>
      <c r="B11" s="27"/>
      <c r="C11" s="74" t="s">
        <v>9</v>
      </c>
      <c r="D11" s="29"/>
      <c r="E11" s="75" t="s">
        <v>9</v>
      </c>
      <c r="F11" s="31"/>
      <c r="G11" s="76" t="s">
        <v>9</v>
      </c>
      <c r="H11" s="53"/>
      <c r="I11" s="77" t="s">
        <v>9</v>
      </c>
    </row>
    <row r="12" customFormat="false" ht="14.25" hidden="false" customHeight="false" outlineLevel="0" collapsed="false">
      <c r="A12" s="72"/>
      <c r="B12" s="37"/>
      <c r="C12" s="74"/>
      <c r="D12" s="38"/>
      <c r="E12" s="75"/>
      <c r="F12" s="39"/>
      <c r="G12" s="76"/>
      <c r="H12" s="78"/>
      <c r="I12" s="77"/>
    </row>
    <row r="13" customFormat="false" ht="14.25" hidden="false" customHeight="false" outlineLevel="0" collapsed="false">
      <c r="A13" s="72"/>
      <c r="B13" s="79" t="n">
        <f aca="false">(B12-B11)</f>
        <v>0</v>
      </c>
      <c r="C13" s="79"/>
      <c r="D13" s="80" t="n">
        <f aca="false">D12-D11</f>
        <v>0</v>
      </c>
      <c r="E13" s="80"/>
      <c r="F13" s="81" t="n">
        <f aca="false">F12-F11</f>
        <v>0</v>
      </c>
      <c r="G13" s="81"/>
      <c r="H13" s="82" t="n">
        <f aca="false">H12-H11</f>
        <v>0</v>
      </c>
      <c r="I13" s="82"/>
    </row>
    <row r="14" customFormat="false" ht="14.25" hidden="false" customHeight="false" outlineLevel="0" collapsed="false">
      <c r="A14" s="72"/>
      <c r="B14" s="27"/>
      <c r="C14" s="74" t="s">
        <v>9</v>
      </c>
      <c r="D14" s="29"/>
      <c r="E14" s="75" t="s">
        <v>9</v>
      </c>
      <c r="F14" s="31"/>
      <c r="G14" s="76" t="s">
        <v>9</v>
      </c>
      <c r="H14" s="53"/>
      <c r="I14" s="77" t="s">
        <v>9</v>
      </c>
    </row>
    <row r="15" customFormat="false" ht="14.25" hidden="false" customHeight="false" outlineLevel="0" collapsed="false">
      <c r="A15" s="72"/>
      <c r="B15" s="37"/>
      <c r="C15" s="74"/>
      <c r="D15" s="38"/>
      <c r="E15" s="75"/>
      <c r="F15" s="39"/>
      <c r="G15" s="76"/>
      <c r="H15" s="78"/>
      <c r="I15" s="77"/>
    </row>
    <row r="16" customFormat="false" ht="14.25" hidden="false" customHeight="false" outlineLevel="0" collapsed="false">
      <c r="A16" s="72"/>
      <c r="B16" s="79" t="n">
        <f aca="false">(B15-B14)</f>
        <v>0</v>
      </c>
      <c r="C16" s="79"/>
      <c r="D16" s="80" t="n">
        <f aca="false">D15-D14</f>
        <v>0</v>
      </c>
      <c r="E16" s="80"/>
      <c r="F16" s="81" t="n">
        <f aca="false">F15-F14</f>
        <v>0</v>
      </c>
      <c r="G16" s="81"/>
      <c r="H16" s="82" t="n">
        <f aca="false">H15-H14</f>
        <v>0</v>
      </c>
      <c r="I16" s="82"/>
    </row>
    <row r="17" customFormat="false" ht="14.25" hidden="false" customHeight="false" outlineLevel="0" collapsed="false">
      <c r="A17" s="72"/>
      <c r="B17" s="27"/>
      <c r="C17" s="74" t="s">
        <v>9</v>
      </c>
      <c r="D17" s="29"/>
      <c r="E17" s="75" t="s">
        <v>9</v>
      </c>
      <c r="F17" s="31"/>
      <c r="G17" s="76" t="s">
        <v>9</v>
      </c>
      <c r="H17" s="53"/>
      <c r="I17" s="77" t="s">
        <v>9</v>
      </c>
    </row>
    <row r="18" customFormat="false" ht="14.25" hidden="false" customHeight="false" outlineLevel="0" collapsed="false">
      <c r="A18" s="72"/>
      <c r="B18" s="37"/>
      <c r="C18" s="74"/>
      <c r="D18" s="38"/>
      <c r="E18" s="75"/>
      <c r="F18" s="39"/>
      <c r="G18" s="76"/>
      <c r="H18" s="78"/>
      <c r="I18" s="77"/>
    </row>
    <row r="19" customFormat="false" ht="14.25" hidden="false" customHeight="false" outlineLevel="0" collapsed="false">
      <c r="A19" s="72"/>
      <c r="B19" s="79" t="n">
        <f aca="false">(B18-B17)</f>
        <v>0</v>
      </c>
      <c r="C19" s="79"/>
      <c r="D19" s="80" t="n">
        <f aca="false">D18-D17</f>
        <v>0</v>
      </c>
      <c r="E19" s="80"/>
      <c r="F19" s="81" t="n">
        <f aca="false">F18-F17</f>
        <v>0</v>
      </c>
      <c r="G19" s="81"/>
      <c r="H19" s="82" t="n">
        <f aca="false">H18-H17</f>
        <v>0</v>
      </c>
      <c r="I19" s="82"/>
    </row>
    <row r="20" customFormat="false" ht="14.25" hidden="false" customHeight="false" outlineLevel="0" collapsed="false">
      <c r="A20" s="72"/>
      <c r="B20" s="27"/>
      <c r="C20" s="74" t="s">
        <v>9</v>
      </c>
      <c r="D20" s="29"/>
      <c r="E20" s="75" t="s">
        <v>9</v>
      </c>
      <c r="F20" s="31"/>
      <c r="G20" s="76" t="s">
        <v>9</v>
      </c>
      <c r="H20" s="53"/>
      <c r="I20" s="77" t="s">
        <v>9</v>
      </c>
    </row>
    <row r="21" customFormat="false" ht="14.25" hidden="false" customHeight="false" outlineLevel="0" collapsed="false">
      <c r="A21" s="72"/>
      <c r="B21" s="37"/>
      <c r="C21" s="74"/>
      <c r="D21" s="38"/>
      <c r="E21" s="75"/>
      <c r="F21" s="39"/>
      <c r="G21" s="76"/>
      <c r="H21" s="78"/>
      <c r="I21" s="77"/>
    </row>
    <row r="22" customFormat="false" ht="14.25" hidden="false" customHeight="false" outlineLevel="0" collapsed="false">
      <c r="A22" s="72"/>
      <c r="B22" s="79" t="n">
        <f aca="false">(B21-B20)</f>
        <v>0</v>
      </c>
      <c r="C22" s="79"/>
      <c r="D22" s="80" t="n">
        <f aca="false">D21-D20</f>
        <v>0</v>
      </c>
      <c r="E22" s="80"/>
      <c r="F22" s="81" t="n">
        <f aca="false">F21-F20</f>
        <v>0</v>
      </c>
      <c r="G22" s="81"/>
      <c r="H22" s="82" t="n">
        <f aca="false">H21-H20</f>
        <v>0</v>
      </c>
      <c r="I22" s="82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2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D1" activeCellId="0" sqref="D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</cols>
  <sheetData>
    <row r="1" customFormat="false" ht="14.25" hidden="false" customHeight="false" outlineLevel="0" collapsed="false">
      <c r="A1" s="63"/>
      <c r="B1" s="83" t="s">
        <v>5</v>
      </c>
      <c r="C1" s="84" t="n">
        <f aca="false" t="array" ref="C1:C1">SUM(B4:B22*(MOD(ROW(B4:B22)-1,3)=0))</f>
        <v>0.7625</v>
      </c>
      <c r="D1" s="85" t="n">
        <f aca="false" t="array" ref="D1:D1">SUM(B4:B22*(MOD(ROW(B4:B22)-1,3)=0))+Sprint_1!C1</f>
        <v>1.09583333333333</v>
      </c>
      <c r="E1" s="86" t="s">
        <v>11</v>
      </c>
      <c r="F1" s="87" t="n">
        <f aca="false" t="array" ref="F1:F1">SUM(E4:E22*(MOD(ROW(E4:E22)-1,3)=0))</f>
        <v>0.604166666666668</v>
      </c>
      <c r="G1" s="88" t="n">
        <f aca="false" t="array" ref="G1:G1">SUM(E4:E22*(MOD(ROW(E4:E22)-1,3)=0))+Sprint_1!E1</f>
        <v>0.937500000000002</v>
      </c>
      <c r="H1" s="89" t="s">
        <v>7</v>
      </c>
      <c r="I1" s="90" t="n">
        <f aca="false" t="array" ref="I1:I1">SUM(H4:H22*(MOD(ROW(H4:H22)-1,3)=0))</f>
        <v>0.500000000000001</v>
      </c>
      <c r="J1" s="91" t="n">
        <f aca="false" t="array" ref="J1:J1">SUM(H4:H22*(MOD(ROW(H4:H22)-1,3)=0))+Sprint_1!G1</f>
        <v>0.833333333333335</v>
      </c>
      <c r="K1" s="92" t="s">
        <v>8</v>
      </c>
      <c r="L1" s="93" t="n">
        <f aca="false" t="array" ref="L1:L1">SUM(K4:K22*(MOD(ROW(K4:K22)-1,3)=0))</f>
        <v>0.729166666666668</v>
      </c>
      <c r="M1" s="94" t="n">
        <f aca="false" t="array" ref="M1:M1">SUM(K4:K22*(MOD(ROW(K4:K22)-1,3)=0))+Sprint_1!I1</f>
        <v>1.0625</v>
      </c>
      <c r="N1" s="95"/>
    </row>
    <row r="2" customFormat="false" ht="14.25" hidden="false" customHeight="false" outlineLevel="0" collapsed="false">
      <c r="A2" s="72" t="n">
        <v>44543</v>
      </c>
      <c r="B2" s="27" t="n">
        <v>0.333333333333333</v>
      </c>
      <c r="C2" s="96" t="s">
        <v>12</v>
      </c>
      <c r="D2" s="96"/>
      <c r="E2" s="29" t="n">
        <v>0.333333333333333</v>
      </c>
      <c r="F2" s="97" t="s">
        <v>9</v>
      </c>
      <c r="G2" s="97"/>
      <c r="H2" s="31" t="n">
        <v>0.333333333333333</v>
      </c>
      <c r="I2" s="98" t="s">
        <v>9</v>
      </c>
      <c r="J2" s="98"/>
      <c r="K2" s="33" t="n">
        <v>0.333333333333333</v>
      </c>
      <c r="L2" s="99" t="s">
        <v>9</v>
      </c>
      <c r="M2" s="99"/>
    </row>
    <row r="3" customFormat="false" ht="14.25" hidden="false" customHeight="false" outlineLevel="0" collapsed="false">
      <c r="A3" s="72"/>
      <c r="B3" s="37" t="n">
        <v>0.491666666666667</v>
      </c>
      <c r="C3" s="96"/>
      <c r="D3" s="96"/>
      <c r="E3" s="38" t="n">
        <v>0.416666666666667</v>
      </c>
      <c r="F3" s="97"/>
      <c r="G3" s="97"/>
      <c r="H3" s="39" t="n">
        <v>0.416666666666667</v>
      </c>
      <c r="I3" s="98"/>
      <c r="J3" s="98"/>
      <c r="K3" s="40" t="n">
        <v>0.416666666666667</v>
      </c>
      <c r="L3" s="99"/>
      <c r="M3" s="99"/>
    </row>
    <row r="4" customFormat="false" ht="14.25" hidden="false" customHeight="false" outlineLevel="0" collapsed="false">
      <c r="A4" s="72"/>
      <c r="B4" s="79" t="n">
        <f aca="false">B3-B2</f>
        <v>0.158333333333334</v>
      </c>
      <c r="C4" s="79"/>
      <c r="D4" s="79"/>
      <c r="E4" s="80" t="n">
        <f aca="false">E3-E2</f>
        <v>0.083333333333334</v>
      </c>
      <c r="F4" s="80"/>
      <c r="G4" s="80"/>
      <c r="H4" s="81" t="n">
        <f aca="false">H3-H2</f>
        <v>0.083333333333334</v>
      </c>
      <c r="I4" s="81"/>
      <c r="J4" s="81"/>
      <c r="K4" s="100" t="n">
        <f aca="false">K3-K2</f>
        <v>0.083333333333334</v>
      </c>
      <c r="L4" s="100"/>
      <c r="M4" s="100"/>
    </row>
    <row r="5" customFormat="false" ht="14.25" hidden="false" customHeight="false" outlineLevel="0" collapsed="false">
      <c r="A5" s="72" t="n">
        <v>44568</v>
      </c>
      <c r="B5" s="27"/>
      <c r="C5" s="96" t="s">
        <v>9</v>
      </c>
      <c r="D5" s="96"/>
      <c r="E5" s="29" t="n">
        <v>0.895833333333333</v>
      </c>
      <c r="F5" s="97" t="s">
        <v>13</v>
      </c>
      <c r="G5" s="97"/>
      <c r="H5" s="31"/>
      <c r="I5" s="98" t="s">
        <v>9</v>
      </c>
      <c r="J5" s="98"/>
      <c r="K5" s="53" t="n">
        <v>0.333333333333333</v>
      </c>
      <c r="L5" s="101" t="s">
        <v>14</v>
      </c>
      <c r="M5" s="101"/>
    </row>
    <row r="6" customFormat="false" ht="14.25" hidden="false" customHeight="false" outlineLevel="0" collapsed="false">
      <c r="A6" s="72"/>
      <c r="B6" s="37"/>
      <c r="C6" s="96"/>
      <c r="D6" s="96"/>
      <c r="E6" s="38" t="n">
        <v>0.979166666666667</v>
      </c>
      <c r="F6" s="97"/>
      <c r="G6" s="97"/>
      <c r="H6" s="39"/>
      <c r="I6" s="98"/>
      <c r="J6" s="98"/>
      <c r="K6" s="40" t="n">
        <v>0.625</v>
      </c>
      <c r="L6" s="101"/>
      <c r="M6" s="101"/>
    </row>
    <row r="7" customFormat="false" ht="14.25" hidden="false" customHeight="false" outlineLevel="0" collapsed="false">
      <c r="A7" s="72"/>
      <c r="B7" s="79" t="n">
        <f aca="false">B6-B5</f>
        <v>0</v>
      </c>
      <c r="C7" s="79"/>
      <c r="D7" s="79"/>
      <c r="E7" s="80" t="n">
        <f aca="false">E6-E5</f>
        <v>0.0833333333333339</v>
      </c>
      <c r="F7" s="80"/>
      <c r="G7" s="80"/>
      <c r="H7" s="81" t="n">
        <f aca="false">H6-H5</f>
        <v>0</v>
      </c>
      <c r="I7" s="81"/>
      <c r="J7" s="81"/>
      <c r="K7" s="82" t="n">
        <f aca="false">K6-K5</f>
        <v>0.291666666666667</v>
      </c>
      <c r="L7" s="82"/>
      <c r="M7" s="82"/>
    </row>
    <row r="8" customFormat="false" ht="14.25" hidden="false" customHeight="false" outlineLevel="0" collapsed="false">
      <c r="A8" s="72" t="n">
        <v>44569</v>
      </c>
      <c r="B8" s="27" t="n">
        <v>0.729166666666667</v>
      </c>
      <c r="C8" s="96" t="s">
        <v>15</v>
      </c>
      <c r="D8" s="96"/>
      <c r="E8" s="29" t="n">
        <v>0.770833333333333</v>
      </c>
      <c r="F8" s="97" t="s">
        <v>16</v>
      </c>
      <c r="G8" s="97"/>
      <c r="H8" s="31" t="n">
        <v>0.770833333333333</v>
      </c>
      <c r="I8" s="98" t="s">
        <v>9</v>
      </c>
      <c r="J8" s="98"/>
      <c r="K8" s="57" t="n">
        <v>0.770833333333333</v>
      </c>
      <c r="L8" s="102" t="s">
        <v>9</v>
      </c>
      <c r="M8" s="102"/>
    </row>
    <row r="9" customFormat="false" ht="14.25" hidden="false" customHeight="false" outlineLevel="0" collapsed="false">
      <c r="A9" s="72"/>
      <c r="B9" s="37" t="n">
        <v>1</v>
      </c>
      <c r="C9" s="96"/>
      <c r="D9" s="96"/>
      <c r="E9" s="38" t="n">
        <v>0.916666666666667</v>
      </c>
      <c r="F9" s="97"/>
      <c r="G9" s="97"/>
      <c r="H9" s="39" t="n">
        <v>0.9375</v>
      </c>
      <c r="I9" s="98"/>
      <c r="J9" s="98"/>
      <c r="K9" s="40" t="n">
        <v>0.916666666666667</v>
      </c>
      <c r="L9" s="102"/>
      <c r="M9" s="102"/>
    </row>
    <row r="10" customFormat="false" ht="14.25" hidden="false" customHeight="false" outlineLevel="0" collapsed="false">
      <c r="A10" s="72"/>
      <c r="B10" s="79" t="n">
        <f aca="false">(B9-B8)</f>
        <v>0.270833333333333</v>
      </c>
      <c r="C10" s="79"/>
      <c r="D10" s="79"/>
      <c r="E10" s="80" t="n">
        <f aca="false">E9-E8</f>
        <v>0.145833333333334</v>
      </c>
      <c r="F10" s="80"/>
      <c r="G10" s="80"/>
      <c r="H10" s="81" t="n">
        <f aca="false">H9-H8</f>
        <v>0.166666666666667</v>
      </c>
      <c r="I10" s="81"/>
      <c r="J10" s="81"/>
      <c r="K10" s="82" t="n">
        <f aca="false">K9-K8</f>
        <v>0.145833333333334</v>
      </c>
      <c r="L10" s="82"/>
      <c r="M10" s="82"/>
    </row>
    <row r="11" customFormat="false" ht="14.25" hidden="false" customHeight="false" outlineLevel="0" collapsed="false">
      <c r="A11" s="72" t="n">
        <v>44805</v>
      </c>
      <c r="B11" s="27" t="n">
        <v>0.666666666666667</v>
      </c>
      <c r="C11" s="96" t="s">
        <v>15</v>
      </c>
      <c r="D11" s="96"/>
      <c r="E11" s="29" t="n">
        <v>0.666666666666667</v>
      </c>
      <c r="F11" s="97" t="s">
        <v>17</v>
      </c>
      <c r="G11" s="97"/>
      <c r="H11" s="31" t="n">
        <v>0.75</v>
      </c>
      <c r="I11" s="98" t="s">
        <v>9</v>
      </c>
      <c r="J11" s="98"/>
      <c r="K11" s="57" t="n">
        <v>0.75</v>
      </c>
      <c r="L11" s="103" t="s">
        <v>9</v>
      </c>
      <c r="M11" s="103"/>
    </row>
    <row r="12" customFormat="false" ht="14.25" hidden="false" customHeight="false" outlineLevel="0" collapsed="false">
      <c r="A12" s="72"/>
      <c r="B12" s="37" t="n">
        <v>1</v>
      </c>
      <c r="C12" s="96"/>
      <c r="D12" s="96"/>
      <c r="E12" s="38" t="n">
        <v>0.958333333333333</v>
      </c>
      <c r="F12" s="97"/>
      <c r="G12" s="97"/>
      <c r="H12" s="39" t="n">
        <v>1</v>
      </c>
      <c r="I12" s="98"/>
      <c r="J12" s="98"/>
      <c r="K12" s="58" t="n">
        <v>0.958333333333333</v>
      </c>
      <c r="L12" s="103"/>
      <c r="M12" s="103"/>
    </row>
    <row r="13" customFormat="false" ht="14.25" hidden="false" customHeight="false" outlineLevel="0" collapsed="false">
      <c r="A13" s="72"/>
      <c r="B13" s="79" t="n">
        <f aca="false">(B12-B11)</f>
        <v>0.333333333333333</v>
      </c>
      <c r="C13" s="79"/>
      <c r="D13" s="79"/>
      <c r="E13" s="80" t="n">
        <f aca="false">E12-E11</f>
        <v>0.291666666666666</v>
      </c>
      <c r="F13" s="80"/>
      <c r="G13" s="80"/>
      <c r="H13" s="81" t="n">
        <f aca="false">H12-H11</f>
        <v>0.25</v>
      </c>
      <c r="I13" s="81"/>
      <c r="J13" s="81"/>
      <c r="K13" s="60" t="n">
        <f aca="false">K12-K11</f>
        <v>0.208333333333333</v>
      </c>
      <c r="L13" s="60"/>
      <c r="M13" s="60"/>
    </row>
    <row r="14" customFormat="false" ht="14.25" hidden="false" customHeight="false" outlineLevel="0" collapsed="false">
      <c r="A14" s="72"/>
      <c r="B14" s="27"/>
      <c r="C14" s="96" t="s">
        <v>9</v>
      </c>
      <c r="D14" s="96"/>
      <c r="E14" s="29"/>
      <c r="F14" s="97" t="s">
        <v>9</v>
      </c>
      <c r="G14" s="97"/>
      <c r="H14" s="31"/>
      <c r="I14" s="98" t="s">
        <v>9</v>
      </c>
      <c r="J14" s="98"/>
      <c r="K14" s="33"/>
      <c r="L14" s="99" t="s">
        <v>9</v>
      </c>
      <c r="M14" s="99"/>
    </row>
    <row r="15" customFormat="false" ht="14.25" hidden="false" customHeight="false" outlineLevel="0" collapsed="false">
      <c r="A15" s="72"/>
      <c r="B15" s="37"/>
      <c r="C15" s="96"/>
      <c r="D15" s="96"/>
      <c r="E15" s="38"/>
      <c r="F15" s="97"/>
      <c r="G15" s="97"/>
      <c r="H15" s="39"/>
      <c r="I15" s="98"/>
      <c r="J15" s="98"/>
      <c r="K15" s="40"/>
      <c r="L15" s="99"/>
      <c r="M15" s="99"/>
    </row>
    <row r="16" customFormat="false" ht="14.25" hidden="false" customHeight="false" outlineLevel="0" collapsed="false">
      <c r="A16" s="72"/>
      <c r="B16" s="79" t="n">
        <f aca="false">(B15-B14)</f>
        <v>0</v>
      </c>
      <c r="C16" s="79"/>
      <c r="D16" s="79"/>
      <c r="E16" s="80" t="n">
        <f aca="false">E15-E14</f>
        <v>0</v>
      </c>
      <c r="F16" s="80"/>
      <c r="G16" s="80"/>
      <c r="H16" s="81" t="n">
        <f aca="false">H15-H14</f>
        <v>0</v>
      </c>
      <c r="I16" s="81"/>
      <c r="J16" s="81"/>
      <c r="K16" s="82" t="n">
        <f aca="false">K15-K14</f>
        <v>0</v>
      </c>
      <c r="L16" s="82"/>
      <c r="M16" s="82"/>
    </row>
    <row r="17" customFormat="false" ht="14.25" hidden="false" customHeight="false" outlineLevel="0" collapsed="false">
      <c r="A17" s="72"/>
      <c r="B17" s="27"/>
      <c r="C17" s="96" t="s">
        <v>9</v>
      </c>
      <c r="D17" s="96"/>
      <c r="E17" s="29"/>
      <c r="F17" s="97" t="s">
        <v>9</v>
      </c>
      <c r="G17" s="97"/>
      <c r="H17" s="31"/>
      <c r="I17" s="98" t="s">
        <v>9</v>
      </c>
      <c r="J17" s="98"/>
      <c r="K17" s="57"/>
      <c r="L17" s="102" t="s">
        <v>9</v>
      </c>
      <c r="M17" s="102"/>
    </row>
    <row r="18" customFormat="false" ht="14.25" hidden="false" customHeight="false" outlineLevel="0" collapsed="false">
      <c r="A18" s="72"/>
      <c r="B18" s="37"/>
      <c r="C18" s="96"/>
      <c r="D18" s="96"/>
      <c r="E18" s="38"/>
      <c r="F18" s="97"/>
      <c r="G18" s="97"/>
      <c r="H18" s="39"/>
      <c r="I18" s="98"/>
      <c r="J18" s="98"/>
      <c r="K18" s="40"/>
      <c r="L18" s="102"/>
      <c r="M18" s="102"/>
    </row>
    <row r="19" customFormat="false" ht="14.25" hidden="false" customHeight="false" outlineLevel="0" collapsed="false">
      <c r="A19" s="72"/>
      <c r="B19" s="79" t="n">
        <f aca="false">(B18-B17)</f>
        <v>0</v>
      </c>
      <c r="C19" s="79"/>
      <c r="D19" s="79"/>
      <c r="E19" s="80" t="n">
        <f aca="false">E18-E17</f>
        <v>0</v>
      </c>
      <c r="F19" s="80"/>
      <c r="G19" s="80"/>
      <c r="H19" s="81" t="n">
        <f aca="false">H18-H17</f>
        <v>0</v>
      </c>
      <c r="I19" s="81"/>
      <c r="J19" s="81"/>
      <c r="K19" s="82" t="n">
        <f aca="false">K18-K17</f>
        <v>0</v>
      </c>
      <c r="L19" s="82"/>
      <c r="M19" s="82"/>
    </row>
    <row r="20" customFormat="false" ht="14.25" hidden="false" customHeight="false" outlineLevel="0" collapsed="false">
      <c r="A20" s="72"/>
      <c r="B20" s="27"/>
      <c r="C20" s="96" t="s">
        <v>9</v>
      </c>
      <c r="D20" s="96"/>
      <c r="E20" s="29"/>
      <c r="F20" s="97" t="s">
        <v>9</v>
      </c>
      <c r="G20" s="97"/>
      <c r="H20" s="31"/>
      <c r="I20" s="98" t="s">
        <v>9</v>
      </c>
      <c r="J20" s="98"/>
      <c r="K20" s="33"/>
      <c r="L20" s="101" t="s">
        <v>9</v>
      </c>
      <c r="M20" s="101"/>
    </row>
    <row r="21" customFormat="false" ht="14.25" hidden="false" customHeight="false" outlineLevel="0" collapsed="false">
      <c r="A21" s="72"/>
      <c r="B21" s="37"/>
      <c r="C21" s="96"/>
      <c r="D21" s="96"/>
      <c r="E21" s="38"/>
      <c r="F21" s="97"/>
      <c r="G21" s="97"/>
      <c r="H21" s="39"/>
      <c r="I21" s="98"/>
      <c r="J21" s="98"/>
      <c r="K21" s="58"/>
      <c r="L21" s="101"/>
      <c r="M21" s="101"/>
    </row>
    <row r="22" customFormat="false" ht="14.25" hidden="false" customHeight="false" outlineLevel="0" collapsed="false">
      <c r="A22" s="72"/>
      <c r="B22" s="79" t="n">
        <f aca="false">(B21-B20)</f>
        <v>0</v>
      </c>
      <c r="C22" s="79"/>
      <c r="D22" s="79"/>
      <c r="E22" s="80" t="n">
        <f aca="false">E21-E20</f>
        <v>0</v>
      </c>
      <c r="F22" s="80"/>
      <c r="G22" s="80"/>
      <c r="H22" s="81" t="n">
        <f aca="false">H21-H20</f>
        <v>0</v>
      </c>
      <c r="I22" s="81"/>
      <c r="J22" s="81"/>
      <c r="K22" s="62" t="n">
        <f aca="false">K21-K20</f>
        <v>0</v>
      </c>
      <c r="L22" s="62"/>
      <c r="M22" s="62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27" activeCellId="0" sqref="C27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</cols>
  <sheetData>
    <row r="1" customFormat="false" ht="14.25" hidden="false" customHeight="false" outlineLevel="0" collapsed="false">
      <c r="A1" s="104" t="s">
        <v>0</v>
      </c>
      <c r="B1" s="105" t="s">
        <v>1</v>
      </c>
      <c r="C1" s="106" t="s">
        <v>2</v>
      </c>
      <c r="D1" s="105" t="s">
        <v>3</v>
      </c>
      <c r="E1" s="107" t="s">
        <v>1</v>
      </c>
      <c r="F1" s="108" t="s">
        <v>2</v>
      </c>
      <c r="G1" s="107" t="s">
        <v>3</v>
      </c>
      <c r="H1" s="109" t="s">
        <v>1</v>
      </c>
      <c r="I1" s="110" t="s">
        <v>2</v>
      </c>
      <c r="J1" s="109" t="s">
        <v>3</v>
      </c>
      <c r="K1" s="111" t="s">
        <v>1</v>
      </c>
      <c r="L1" s="111" t="s">
        <v>2</v>
      </c>
      <c r="M1" s="112" t="s">
        <v>3</v>
      </c>
      <c r="N1" s="95"/>
    </row>
    <row r="2" customFormat="false" ht="14.25" hidden="false" customHeight="false" outlineLevel="0" collapsed="false">
      <c r="A2" s="104"/>
      <c r="B2" s="113" t="s">
        <v>5</v>
      </c>
      <c r="C2" s="114" t="n">
        <f aca="false" t="array" ref="C2:C2">SUM(B5:B23*(MOD(ROW(B5:B23)-2,3)=0))</f>
        <v>0.268055555555557</v>
      </c>
      <c r="D2" s="115" t="n">
        <f aca="false">C2+Sprint_2!D1</f>
        <v>1.36388888888889</v>
      </c>
      <c r="E2" s="116" t="s">
        <v>11</v>
      </c>
      <c r="F2" s="117" t="n">
        <f aca="false" t="array" ref="F2:F2">SUM(E5:E23*(MOD(ROW(E5:E23)-2,3)=0))</f>
        <v>0.236805555555557</v>
      </c>
      <c r="G2" s="118" t="n">
        <f aca="false">F2+Sprint_2!G1</f>
        <v>1.17430555555556</v>
      </c>
      <c r="H2" s="119" t="s">
        <v>7</v>
      </c>
      <c r="I2" s="120" t="n">
        <f aca="false" t="array" ref="I2:I2">SUM(H5:H23*(MOD(ROW(H5:H23)-2,3)=0))</f>
        <v>0.265972222222223</v>
      </c>
      <c r="J2" s="121" t="n">
        <f aca="false">I2+Sprint_2!J1</f>
        <v>1.09930555555556</v>
      </c>
      <c r="K2" s="122" t="s">
        <v>8</v>
      </c>
      <c r="L2" s="123" t="n">
        <f aca="false" t="array" ref="L2:L2">SUM(K5:K23*(MOD(ROW(K5:K23)-2,3)=0))</f>
        <v>0.268055555555557</v>
      </c>
      <c r="M2" s="124" t="n">
        <f aca="false">L2+Sprint_2!M1</f>
        <v>1.33055555555556</v>
      </c>
    </row>
    <row r="3" customFormat="false" ht="15" hidden="false" customHeight="true" outlineLevel="0" collapsed="false">
      <c r="A3" s="26" t="n">
        <v>44571</v>
      </c>
      <c r="B3" s="27" t="n">
        <v>0.333333333333333</v>
      </c>
      <c r="C3" s="125" t="s">
        <v>18</v>
      </c>
      <c r="D3" s="125"/>
      <c r="E3" s="29" t="n">
        <v>0.333333333333333</v>
      </c>
      <c r="F3" s="126" t="s">
        <v>19</v>
      </c>
      <c r="G3" s="126"/>
      <c r="H3" s="31" t="n">
        <v>0.333333333333333</v>
      </c>
      <c r="I3" s="127" t="s">
        <v>19</v>
      </c>
      <c r="J3" s="127"/>
      <c r="K3" s="33" t="n">
        <v>0.333333333333333</v>
      </c>
      <c r="L3" s="128" t="s">
        <v>19</v>
      </c>
      <c r="M3" s="128"/>
    </row>
    <row r="4" customFormat="false" ht="14.25" hidden="false" customHeight="false" outlineLevel="0" collapsed="false">
      <c r="A4" s="26"/>
      <c r="B4" s="37" t="n">
        <v>0.416666666666667</v>
      </c>
      <c r="C4" s="125"/>
      <c r="D4" s="125"/>
      <c r="E4" s="38" t="n">
        <v>0.416666666666667</v>
      </c>
      <c r="F4" s="126"/>
      <c r="G4" s="126"/>
      <c r="H4" s="39" t="n">
        <v>0.416666666666667</v>
      </c>
      <c r="I4" s="127"/>
      <c r="J4" s="127"/>
      <c r="K4" s="40" t="n">
        <v>0.416666666666667</v>
      </c>
      <c r="L4" s="128"/>
      <c r="M4" s="128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0.083333333333334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44583</v>
      </c>
      <c r="B6" s="27" t="n">
        <v>0.791666666666667</v>
      </c>
      <c r="C6" s="125" t="s">
        <v>20</v>
      </c>
      <c r="D6" s="125"/>
      <c r="E6" s="29" t="n">
        <v>0.822916666666667</v>
      </c>
      <c r="F6" s="126" t="s">
        <v>20</v>
      </c>
      <c r="G6" s="126"/>
      <c r="H6" s="31" t="n">
        <v>0.791666666666667</v>
      </c>
      <c r="I6" s="127" t="s">
        <v>20</v>
      </c>
      <c r="J6" s="127"/>
      <c r="K6" s="53" t="n">
        <v>0.791666666666667</v>
      </c>
      <c r="L6" s="128" t="s">
        <v>20</v>
      </c>
      <c r="M6" s="128"/>
    </row>
    <row r="7" customFormat="false" ht="14.25" hidden="false" customHeight="false" outlineLevel="0" collapsed="false">
      <c r="A7" s="26"/>
      <c r="B7" s="37" t="n">
        <v>0.897916666666667</v>
      </c>
      <c r="C7" s="125"/>
      <c r="D7" s="125"/>
      <c r="E7" s="38" t="n">
        <v>0.897916666666667</v>
      </c>
      <c r="F7" s="126"/>
      <c r="G7" s="126"/>
      <c r="H7" s="39" t="n">
        <v>0.895833333333333</v>
      </c>
      <c r="I7" s="127"/>
      <c r="J7" s="127"/>
      <c r="K7" s="40" t="n">
        <v>0.897916666666667</v>
      </c>
      <c r="L7" s="128"/>
      <c r="M7" s="128"/>
    </row>
    <row r="8" customFormat="false" ht="14.25" hidden="false" customHeight="false" outlineLevel="0" collapsed="false">
      <c r="A8" s="26"/>
      <c r="B8" s="41" t="n">
        <f aca="false">B7-B6</f>
        <v>0.10625</v>
      </c>
      <c r="C8" s="42"/>
      <c r="D8" s="43"/>
      <c r="E8" s="44" t="n">
        <f aca="false">E7-E6</f>
        <v>0.0750000000000001</v>
      </c>
      <c r="F8" s="45"/>
      <c r="G8" s="46"/>
      <c r="H8" s="47" t="n">
        <f aca="false">H7-H6</f>
        <v>0.104166666666666</v>
      </c>
      <c r="I8" s="48"/>
      <c r="J8" s="49"/>
      <c r="K8" s="54" t="n">
        <f aca="false">K7-K6</f>
        <v>0.10625</v>
      </c>
      <c r="L8" s="55"/>
      <c r="M8" s="56"/>
    </row>
    <row r="9" customFormat="false" ht="15" hidden="false" customHeight="true" outlineLevel="0" collapsed="false">
      <c r="A9" s="26" t="n">
        <v>44584</v>
      </c>
      <c r="B9" s="27" t="n">
        <v>0.756944444444444</v>
      </c>
      <c r="C9" s="125" t="s">
        <v>21</v>
      </c>
      <c r="D9" s="125"/>
      <c r="E9" s="29" t="n">
        <v>0.756944444444444</v>
      </c>
      <c r="F9" s="126" t="s">
        <v>21</v>
      </c>
      <c r="G9" s="126"/>
      <c r="H9" s="31" t="n">
        <v>0.756944444444444</v>
      </c>
      <c r="I9" s="127" t="s">
        <v>21</v>
      </c>
      <c r="J9" s="127"/>
      <c r="K9" s="57" t="n">
        <v>0.756944444444444</v>
      </c>
      <c r="L9" s="128" t="s">
        <v>21</v>
      </c>
      <c r="M9" s="128"/>
    </row>
    <row r="10" customFormat="false" ht="14.25" hidden="false" customHeight="false" outlineLevel="0" collapsed="false">
      <c r="A10" s="26"/>
      <c r="B10" s="37" t="n">
        <v>0.835416666666667</v>
      </c>
      <c r="C10" s="125"/>
      <c r="D10" s="125"/>
      <c r="E10" s="38" t="n">
        <v>0.835416666666667</v>
      </c>
      <c r="F10" s="126"/>
      <c r="G10" s="126"/>
      <c r="H10" s="39" t="n">
        <v>0.835416666666667</v>
      </c>
      <c r="I10" s="127"/>
      <c r="J10" s="127"/>
      <c r="K10" s="40" t="n">
        <v>0.835416666666667</v>
      </c>
      <c r="L10" s="128"/>
      <c r="M10" s="128"/>
    </row>
    <row r="11" customFormat="false" ht="14.25" hidden="false" customHeight="false" outlineLevel="0" collapsed="false">
      <c r="A11" s="26"/>
      <c r="B11" s="41" t="n">
        <f aca="false">(B10-B9)</f>
        <v>0.0784722222222231</v>
      </c>
      <c r="C11" s="42"/>
      <c r="D11" s="43"/>
      <c r="E11" s="44" t="n">
        <f aca="false">E10-E9</f>
        <v>0.0784722222222231</v>
      </c>
      <c r="F11" s="45"/>
      <c r="G11" s="46"/>
      <c r="H11" s="47" t="n">
        <f aca="false">H10-H9</f>
        <v>0.0784722222222231</v>
      </c>
      <c r="I11" s="48"/>
      <c r="J11" s="49"/>
      <c r="K11" s="54" t="n">
        <f aca="false">K10-K9</f>
        <v>0.0784722222222231</v>
      </c>
      <c r="L11" s="55"/>
      <c r="M11" s="56"/>
    </row>
    <row r="12" customFormat="false" ht="15" hidden="false" customHeight="true" outlineLevel="0" collapsed="false">
      <c r="A12" s="26"/>
      <c r="B12" s="27"/>
      <c r="C12" s="125" t="s">
        <v>9</v>
      </c>
      <c r="D12" s="125"/>
      <c r="E12" s="29"/>
      <c r="F12" s="126" t="s">
        <v>9</v>
      </c>
      <c r="G12" s="126"/>
      <c r="H12" s="31"/>
      <c r="I12" s="127" t="s">
        <v>9</v>
      </c>
      <c r="J12" s="127"/>
      <c r="K12" s="57"/>
      <c r="L12" s="128" t="s">
        <v>9</v>
      </c>
      <c r="M12" s="128"/>
    </row>
    <row r="13" customFormat="false" ht="14.25" hidden="false" customHeight="false" outlineLevel="0" collapsed="false">
      <c r="A13" s="26"/>
      <c r="B13" s="37"/>
      <c r="C13" s="125"/>
      <c r="D13" s="125"/>
      <c r="E13" s="38"/>
      <c r="F13" s="126"/>
      <c r="G13" s="126"/>
      <c r="H13" s="39"/>
      <c r="I13" s="127"/>
      <c r="J13" s="127"/>
      <c r="K13" s="58"/>
      <c r="L13" s="128"/>
      <c r="M13" s="128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125" t="s">
        <v>9</v>
      </c>
      <c r="D15" s="125"/>
      <c r="E15" s="29"/>
      <c r="F15" s="126" t="s">
        <v>9</v>
      </c>
      <c r="G15" s="126"/>
      <c r="H15" s="31"/>
      <c r="I15" s="127" t="s">
        <v>9</v>
      </c>
      <c r="J15" s="127"/>
      <c r="K15" s="33"/>
      <c r="L15" s="128" t="s">
        <v>9</v>
      </c>
      <c r="M15" s="128"/>
    </row>
    <row r="16" customFormat="false" ht="14.25" hidden="false" customHeight="false" outlineLevel="0" collapsed="false">
      <c r="A16" s="26"/>
      <c r="B16" s="37"/>
      <c r="C16" s="125"/>
      <c r="D16" s="125"/>
      <c r="E16" s="38"/>
      <c r="F16" s="126"/>
      <c r="G16" s="126"/>
      <c r="H16" s="39"/>
      <c r="I16" s="127"/>
      <c r="J16" s="127"/>
      <c r="K16" s="40"/>
      <c r="L16" s="128"/>
      <c r="M16" s="128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125" t="s">
        <v>9</v>
      </c>
      <c r="D18" s="125"/>
      <c r="E18" s="29"/>
      <c r="F18" s="126" t="s">
        <v>9</v>
      </c>
      <c r="G18" s="126"/>
      <c r="H18" s="31"/>
      <c r="I18" s="127" t="s">
        <v>9</v>
      </c>
      <c r="J18" s="127"/>
      <c r="K18" s="57"/>
      <c r="L18" s="128" t="s">
        <v>9</v>
      </c>
      <c r="M18" s="128"/>
    </row>
    <row r="19" customFormat="false" ht="14.25" hidden="false" customHeight="false" outlineLevel="0" collapsed="false">
      <c r="A19" s="26"/>
      <c r="B19" s="37"/>
      <c r="C19" s="125"/>
      <c r="D19" s="125"/>
      <c r="E19" s="38"/>
      <c r="F19" s="126"/>
      <c r="G19" s="126"/>
      <c r="H19" s="39"/>
      <c r="I19" s="127"/>
      <c r="J19" s="127"/>
      <c r="K19" s="40"/>
      <c r="L19" s="128"/>
      <c r="M19" s="128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125" t="s">
        <v>9</v>
      </c>
      <c r="D21" s="125"/>
      <c r="E21" s="29"/>
      <c r="F21" s="126" t="s">
        <v>9</v>
      </c>
      <c r="G21" s="126"/>
      <c r="H21" s="31"/>
      <c r="I21" s="127" t="s">
        <v>9</v>
      </c>
      <c r="J21" s="127"/>
      <c r="K21" s="33"/>
      <c r="L21" s="128" t="s">
        <v>9</v>
      </c>
      <c r="M21" s="128"/>
    </row>
    <row r="22" customFormat="false" ht="14.25" hidden="false" customHeight="false" outlineLevel="0" collapsed="false">
      <c r="A22" s="26"/>
      <c r="B22" s="37"/>
      <c r="C22" s="125"/>
      <c r="D22" s="125"/>
      <c r="E22" s="38"/>
      <c r="F22" s="126"/>
      <c r="G22" s="126"/>
      <c r="H22" s="39"/>
      <c r="I22" s="127"/>
      <c r="J22" s="127"/>
      <c r="K22" s="58"/>
      <c r="L22" s="128"/>
      <c r="M22" s="128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30" customFormat="false" ht="14.25" hidden="false" customHeight="false" outlineLevel="0" collapsed="false">
      <c r="A30" s="129" t="s">
        <v>2</v>
      </c>
      <c r="B30" s="130" t="n">
        <f aca="false">C2+F2+I2+L2</f>
        <v>1.03888888888889</v>
      </c>
    </row>
    <row r="31" customFormat="false" ht="14.25" hidden="false" customHeight="false" outlineLevel="0" collapsed="false">
      <c r="A31" s="129" t="s">
        <v>3</v>
      </c>
      <c r="B31" s="130" t="n">
        <f aca="false">D2+G2+J2+M2</f>
        <v>4.96805555555557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O3" activeCellId="0" sqref="O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22</v>
      </c>
      <c r="E1" s="6" t="s">
        <v>1</v>
      </c>
      <c r="F1" s="7" t="s">
        <v>2</v>
      </c>
      <c r="G1" s="6" t="s">
        <v>22</v>
      </c>
      <c r="H1" s="8" t="s">
        <v>1</v>
      </c>
      <c r="I1" s="9" t="s">
        <v>2</v>
      </c>
      <c r="J1" s="8" t="s">
        <v>22</v>
      </c>
      <c r="K1" s="10" t="s">
        <v>1</v>
      </c>
      <c r="L1" s="10" t="s">
        <v>2</v>
      </c>
      <c r="M1" s="131" t="s">
        <v>22</v>
      </c>
      <c r="N1" s="132" t="s">
        <v>4</v>
      </c>
      <c r="O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0.975694444444445</v>
      </c>
      <c r="D2" s="14" t="n">
        <f aca="false">C2+Sprint_3!D2</f>
        <v>2.33958333333334</v>
      </c>
      <c r="E2" s="15" t="s">
        <v>11</v>
      </c>
      <c r="F2" s="16" t="n">
        <f aca="false" t="array" ref="F2:F2">SUM(E5:E41*(MOD(ROW(E5:E41)-2,3)=0))</f>
        <v>0.739583333333334</v>
      </c>
      <c r="G2" s="17" t="n">
        <f aca="false">F2+Sprint_3!G2</f>
        <v>1.91388888888889</v>
      </c>
      <c r="H2" s="18" t="s">
        <v>7</v>
      </c>
      <c r="I2" s="19" t="n">
        <f aca="false" t="array" ref="I2:I2">SUM(H5:H41*(MOD(ROW(H5:H41)-2,3)=0))</f>
        <v>0.934027777777778</v>
      </c>
      <c r="J2" s="20" t="n">
        <f aca="false">I2+Sprint_3!J2</f>
        <v>2.03333333333334</v>
      </c>
      <c r="K2" s="21" t="s">
        <v>8</v>
      </c>
      <c r="L2" s="22" t="n">
        <f aca="false" t="array" ref="L2:L2">SUM(K5:K41*(MOD(ROW(K5:K41)-2,3)=0))</f>
        <v>1.15625</v>
      </c>
      <c r="M2" s="133" t="n">
        <f aca="false">L2+Sprint_3!M2</f>
        <v>2.48680555555556</v>
      </c>
      <c r="N2" s="129" t="s">
        <v>2</v>
      </c>
      <c r="O2" s="130" t="n">
        <f aca="false">C2+F2+I2+L2</f>
        <v>3.80555555555556</v>
      </c>
    </row>
    <row r="3" customFormat="false" ht="15" hidden="false" customHeight="true" outlineLevel="0" collapsed="false">
      <c r="A3" s="26" t="n">
        <v>44585</v>
      </c>
      <c r="B3" s="27" t="n">
        <v>0.333333333333333</v>
      </c>
      <c r="C3" s="28" t="s">
        <v>23</v>
      </c>
      <c r="D3" s="28"/>
      <c r="E3" s="29" t="n">
        <v>0.333333333333333</v>
      </c>
      <c r="F3" s="30" t="s">
        <v>23</v>
      </c>
      <c r="G3" s="30"/>
      <c r="H3" s="31" t="n">
        <v>0.333333333333333</v>
      </c>
      <c r="I3" s="32" t="s">
        <v>23</v>
      </c>
      <c r="J3" s="32"/>
      <c r="K3" s="33" t="n">
        <v>0.333333333333333</v>
      </c>
      <c r="L3" s="34" t="s">
        <v>23</v>
      </c>
      <c r="M3" s="34"/>
      <c r="N3" s="129" t="s">
        <v>3</v>
      </c>
      <c r="O3" s="130" t="n">
        <f aca="false">D2+G2+J2+M2</f>
        <v>8.77361111111113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0.083333333333334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44585</v>
      </c>
      <c r="B6" s="27" t="n">
        <v>0.6875</v>
      </c>
      <c r="C6" s="28" t="s">
        <v>24</v>
      </c>
      <c r="D6" s="28"/>
      <c r="E6" s="29" t="n">
        <v>0.6875</v>
      </c>
      <c r="F6" s="30" t="s">
        <v>24</v>
      </c>
      <c r="G6" s="30"/>
      <c r="H6" s="31" t="n">
        <v>0.6875</v>
      </c>
      <c r="I6" s="32" t="s">
        <v>24</v>
      </c>
      <c r="J6" s="32"/>
      <c r="K6" s="53" t="n">
        <v>0.6875</v>
      </c>
      <c r="L6" s="34" t="s">
        <v>25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 t="n">
        <v>0.71875</v>
      </c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0.03125</v>
      </c>
      <c r="C8" s="42"/>
      <c r="D8" s="43"/>
      <c r="E8" s="44" t="n">
        <f aca="false">E7-E6</f>
        <v>0.03125</v>
      </c>
      <c r="F8" s="45"/>
      <c r="G8" s="46"/>
      <c r="H8" s="47" t="n">
        <f aca="false">H7-H6</f>
        <v>0.03125</v>
      </c>
      <c r="I8" s="48"/>
      <c r="J8" s="49"/>
      <c r="K8" s="54" t="n">
        <f aca="false">K7-K6</f>
        <v>0.03125</v>
      </c>
      <c r="L8" s="55"/>
      <c r="M8" s="56"/>
    </row>
    <row r="9" customFormat="false" ht="15" hidden="false" customHeight="true" outlineLevel="0" collapsed="false">
      <c r="A9" s="26" t="n">
        <v>44586</v>
      </c>
      <c r="B9" s="27" t="n">
        <v>0.583333333333333</v>
      </c>
      <c r="C9" s="28" t="s">
        <v>26</v>
      </c>
      <c r="D9" s="28"/>
      <c r="E9" s="29"/>
      <c r="F9" s="30" t="s">
        <v>27</v>
      </c>
      <c r="G9" s="30"/>
      <c r="H9" s="31"/>
      <c r="I9" s="32" t="s">
        <v>10</v>
      </c>
      <c r="J9" s="32"/>
      <c r="K9" s="57"/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0.6875</v>
      </c>
      <c r="C10" s="28"/>
      <c r="D10" s="28"/>
      <c r="E10" s="38"/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0.104166666666667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 t="n">
        <v>44588</v>
      </c>
      <c r="B12" s="27" t="n">
        <v>0.854166666666667</v>
      </c>
      <c r="C12" s="28" t="s">
        <v>28</v>
      </c>
      <c r="D12" s="28"/>
      <c r="E12" s="29"/>
      <c r="F12" s="30" t="s">
        <v>10</v>
      </c>
      <c r="G12" s="30"/>
      <c r="H12" s="31"/>
      <c r="I12" s="32" t="s">
        <v>10</v>
      </c>
      <c r="J12" s="32"/>
      <c r="K12" s="57"/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0.895833333333333</v>
      </c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0.0416666666666661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3.5" hidden="false" customHeight="true" outlineLevel="0" collapsed="false">
      <c r="A15" s="26" t="n">
        <v>44591</v>
      </c>
      <c r="B15" s="27"/>
      <c r="C15" s="28" t="s">
        <v>10</v>
      </c>
      <c r="D15" s="28"/>
      <c r="E15" s="29"/>
      <c r="F15" s="30" t="s">
        <v>10</v>
      </c>
      <c r="G15" s="30"/>
      <c r="H15" s="31"/>
      <c r="I15" s="32" t="s">
        <v>10</v>
      </c>
      <c r="J15" s="32"/>
      <c r="K15" s="33" t="n">
        <v>0.333333333333333</v>
      </c>
      <c r="L15" s="34" t="s">
        <v>29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 t="n">
        <v>0.416666666666667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0.083333333333334</v>
      </c>
      <c r="L17" s="55"/>
      <c r="M17" s="56"/>
    </row>
    <row r="18" customFormat="false" ht="15" hidden="false" customHeight="true" outlineLevel="0" collapsed="false">
      <c r="A18" s="26" t="n">
        <v>44591</v>
      </c>
      <c r="B18" s="27" t="n">
        <v>0.708333333333333</v>
      </c>
      <c r="C18" s="28" t="s">
        <v>30</v>
      </c>
      <c r="D18" s="28"/>
      <c r="E18" s="29" t="n">
        <v>0.708333333333333</v>
      </c>
      <c r="F18" s="30" t="s">
        <v>30</v>
      </c>
      <c r="G18" s="30"/>
      <c r="H18" s="31" t="n">
        <v>0.618055555555556</v>
      </c>
      <c r="I18" s="32" t="s">
        <v>31</v>
      </c>
      <c r="J18" s="32"/>
      <c r="K18" s="57" t="n">
        <v>0.708333333333333</v>
      </c>
      <c r="L18" s="34" t="s">
        <v>30</v>
      </c>
      <c r="M18" s="34"/>
    </row>
    <row r="19" customFormat="false" ht="14.25" hidden="false" customHeight="false" outlineLevel="0" collapsed="false">
      <c r="A19" s="26"/>
      <c r="B19" s="37" t="n">
        <v>0.927083333333333</v>
      </c>
      <c r="C19" s="28"/>
      <c r="D19" s="28"/>
      <c r="E19" s="38" t="n">
        <v>0.927083333333333</v>
      </c>
      <c r="F19" s="30"/>
      <c r="G19" s="30"/>
      <c r="H19" s="39" t="n">
        <v>0.927083333333333</v>
      </c>
      <c r="I19" s="32"/>
      <c r="J19" s="32"/>
      <c r="K19" s="40" t="n">
        <v>0.927083333333333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0.21875</v>
      </c>
      <c r="C20" s="42"/>
      <c r="D20" s="43"/>
      <c r="E20" s="44" t="n">
        <f aca="false">E19-E18</f>
        <v>0.21875</v>
      </c>
      <c r="F20" s="45"/>
      <c r="G20" s="46"/>
      <c r="H20" s="47" t="n">
        <f aca="false">H19-H18</f>
        <v>0.309027777777777</v>
      </c>
      <c r="I20" s="48"/>
      <c r="J20" s="49"/>
      <c r="K20" s="54" t="n">
        <f aca="false">K19-K18</f>
        <v>0.21875</v>
      </c>
      <c r="L20" s="55"/>
      <c r="M20" s="56"/>
    </row>
    <row r="21" customFormat="false" ht="15" hidden="false" customHeight="true" outlineLevel="0" collapsed="false">
      <c r="A21" s="26" t="n">
        <v>44592</v>
      </c>
      <c r="B21" s="27" t="n">
        <v>0.375</v>
      </c>
      <c r="C21" s="28" t="s">
        <v>30</v>
      </c>
      <c r="D21" s="28"/>
      <c r="E21" s="29" t="n">
        <v>0.375</v>
      </c>
      <c r="F21" s="30" t="s">
        <v>30</v>
      </c>
      <c r="G21" s="30"/>
      <c r="H21" s="31" t="n">
        <v>0.375</v>
      </c>
      <c r="I21" s="32" t="s">
        <v>31</v>
      </c>
      <c r="J21" s="32"/>
      <c r="K21" s="33" t="n">
        <v>0.375</v>
      </c>
      <c r="L21" s="34" t="s">
        <v>30</v>
      </c>
      <c r="M21" s="34"/>
    </row>
    <row r="22" customFormat="false" ht="14.25" hidden="false" customHeight="false" outlineLevel="0" collapsed="false">
      <c r="A22" s="26"/>
      <c r="B22" s="37" t="n">
        <v>0.416666666666667</v>
      </c>
      <c r="C22" s="28"/>
      <c r="D22" s="28"/>
      <c r="E22" s="38" t="n">
        <v>0.416666666666667</v>
      </c>
      <c r="F22" s="30"/>
      <c r="G22" s="30"/>
      <c r="H22" s="39" t="n">
        <v>0.416666666666667</v>
      </c>
      <c r="I22" s="32"/>
      <c r="J22" s="32"/>
      <c r="K22" s="58" t="n">
        <v>0.416666666666667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0.041666666666667</v>
      </c>
      <c r="C23" s="42"/>
      <c r="D23" s="43"/>
      <c r="E23" s="44" t="n">
        <f aca="false">E22-E21</f>
        <v>0.041666666666667</v>
      </c>
      <c r="F23" s="45"/>
      <c r="G23" s="46"/>
      <c r="H23" s="47" t="n">
        <f aca="false">H22-H21</f>
        <v>0.041666666666667</v>
      </c>
      <c r="I23" s="48"/>
      <c r="J23" s="49"/>
      <c r="K23" s="61" t="n">
        <f aca="false">K22-K21</f>
        <v>0.041666666666667</v>
      </c>
      <c r="L23" s="61"/>
      <c r="M23" s="62"/>
    </row>
    <row r="24" customFormat="false" ht="15" hidden="false" customHeight="true" outlineLevel="0" collapsed="false">
      <c r="A24" s="26" t="n">
        <v>44592</v>
      </c>
      <c r="B24" s="27" t="n">
        <v>0.625</v>
      </c>
      <c r="C24" s="28" t="s">
        <v>30</v>
      </c>
      <c r="D24" s="28"/>
      <c r="E24" s="29" t="n">
        <v>0.625</v>
      </c>
      <c r="F24" s="30" t="s">
        <v>30</v>
      </c>
      <c r="G24" s="30"/>
      <c r="H24" s="31" t="n">
        <v>0.625</v>
      </c>
      <c r="I24" s="32" t="s">
        <v>32</v>
      </c>
      <c r="J24" s="32"/>
      <c r="K24" s="33" t="n">
        <v>0.625</v>
      </c>
      <c r="L24" s="34" t="s">
        <v>30</v>
      </c>
      <c r="M24" s="34"/>
    </row>
    <row r="25" customFormat="false" ht="14.25" hidden="false" customHeight="false" outlineLevel="0" collapsed="false">
      <c r="A25" s="26"/>
      <c r="B25" s="37" t="n">
        <v>0.75</v>
      </c>
      <c r="C25" s="28"/>
      <c r="D25" s="28"/>
      <c r="E25" s="38" t="n">
        <v>0.75</v>
      </c>
      <c r="F25" s="30"/>
      <c r="G25" s="30"/>
      <c r="H25" s="39" t="n">
        <v>0.708333333333333</v>
      </c>
      <c r="I25" s="32"/>
      <c r="J25" s="32"/>
      <c r="K25" s="40" t="n">
        <v>0.75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0.125</v>
      </c>
      <c r="C26" s="42"/>
      <c r="D26" s="43"/>
      <c r="E26" s="44" t="n">
        <f aca="false">E25-E24</f>
        <v>0.125</v>
      </c>
      <c r="F26" s="45"/>
      <c r="G26" s="46"/>
      <c r="H26" s="47" t="n">
        <f aca="false">H25-H24</f>
        <v>0.083333333333333</v>
      </c>
      <c r="I26" s="48"/>
      <c r="J26" s="49"/>
      <c r="K26" s="54" t="n">
        <f aca="false">K25-K24</f>
        <v>0.125</v>
      </c>
      <c r="L26" s="55"/>
      <c r="M26" s="56"/>
    </row>
    <row r="27" customFormat="false" ht="15" hidden="false" customHeight="true" outlineLevel="0" collapsed="false">
      <c r="A27" s="26" t="n">
        <v>44594</v>
      </c>
      <c r="B27" s="27" t="n">
        <v>0.5</v>
      </c>
      <c r="C27" s="28" t="s">
        <v>10</v>
      </c>
      <c r="D27" s="28"/>
      <c r="E27" s="29" t="n">
        <v>0.5</v>
      </c>
      <c r="F27" s="30" t="s">
        <v>10</v>
      </c>
      <c r="G27" s="30"/>
      <c r="H27" s="31" t="n">
        <v>0.5</v>
      </c>
      <c r="I27" s="32" t="s">
        <v>10</v>
      </c>
      <c r="J27" s="32"/>
      <c r="K27" s="57" t="n">
        <v>0.5</v>
      </c>
      <c r="L27" s="34" t="s">
        <v>10</v>
      </c>
      <c r="M27" s="34"/>
    </row>
    <row r="28" customFormat="false" ht="14.25" hidden="false" customHeight="false" outlineLevel="0" collapsed="false">
      <c r="A28" s="26"/>
      <c r="B28" s="37" t="n">
        <v>0.53125</v>
      </c>
      <c r="C28" s="28"/>
      <c r="D28" s="28"/>
      <c r="E28" s="38" t="n">
        <v>0.53125</v>
      </c>
      <c r="F28" s="30"/>
      <c r="G28" s="30"/>
      <c r="H28" s="39" t="n">
        <v>0.53125</v>
      </c>
      <c r="I28" s="32"/>
      <c r="J28" s="32"/>
      <c r="K28" s="40" t="n">
        <v>0.53125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0.03125</v>
      </c>
      <c r="C29" s="42"/>
      <c r="D29" s="43"/>
      <c r="E29" s="44" t="n">
        <f aca="false">E28-E27</f>
        <v>0.03125</v>
      </c>
      <c r="F29" s="45"/>
      <c r="G29" s="46"/>
      <c r="H29" s="47" t="n">
        <f aca="false">H28-H27</f>
        <v>0.03125</v>
      </c>
      <c r="I29" s="48"/>
      <c r="J29" s="49"/>
      <c r="K29" s="54" t="n">
        <f aca="false">K28-K27</f>
        <v>0.03125</v>
      </c>
      <c r="L29" s="55"/>
      <c r="M29" s="56"/>
    </row>
    <row r="30" customFormat="false" ht="15" hidden="false" customHeight="true" outlineLevel="0" collapsed="false">
      <c r="A30" s="26" t="n">
        <v>44597</v>
      </c>
      <c r="B30" s="27" t="n">
        <v>0.75</v>
      </c>
      <c r="C30" s="28" t="s">
        <v>33</v>
      </c>
      <c r="D30" s="28"/>
      <c r="E30" s="29" t="n">
        <v>0.75</v>
      </c>
      <c r="F30" s="30" t="s">
        <v>10</v>
      </c>
      <c r="G30" s="30"/>
      <c r="H30" s="31" t="n">
        <v>0.75</v>
      </c>
      <c r="I30" s="32" t="s">
        <v>34</v>
      </c>
      <c r="J30" s="32"/>
      <c r="K30" s="33" t="n">
        <v>0.75</v>
      </c>
      <c r="L30" s="34" t="s">
        <v>10</v>
      </c>
      <c r="M30" s="34"/>
    </row>
    <row r="31" customFormat="false" ht="14.25" hidden="false" customHeight="false" outlineLevel="0" collapsed="false">
      <c r="A31" s="26"/>
      <c r="B31" s="37" t="n">
        <v>0.958333333333333</v>
      </c>
      <c r="C31" s="28"/>
      <c r="D31" s="28"/>
      <c r="E31" s="38" t="n">
        <v>0.958333333333333</v>
      </c>
      <c r="F31" s="30"/>
      <c r="G31" s="30"/>
      <c r="H31" s="39" t="n">
        <v>0.9375</v>
      </c>
      <c r="I31" s="32"/>
      <c r="J31" s="32"/>
      <c r="K31" s="58" t="n">
        <v>0.958333333333333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0.208333333333333</v>
      </c>
      <c r="C32" s="42"/>
      <c r="D32" s="43"/>
      <c r="E32" s="44" t="n">
        <f aca="false">E31-E30</f>
        <v>0.208333333333333</v>
      </c>
      <c r="F32" s="45"/>
      <c r="G32" s="46"/>
      <c r="H32" s="47" t="n">
        <f aca="false">H31-H30</f>
        <v>0.1875</v>
      </c>
      <c r="I32" s="48"/>
      <c r="J32" s="49"/>
      <c r="K32" s="61" t="n">
        <f aca="false">K31-K30</f>
        <v>0.208333333333333</v>
      </c>
      <c r="L32" s="61"/>
      <c r="M32" s="62"/>
    </row>
    <row r="33" customFormat="false" ht="15" hidden="false" customHeight="true" outlineLevel="0" collapsed="false">
      <c r="A33" s="26" t="n">
        <v>44598</v>
      </c>
      <c r="B33" s="27" t="n">
        <v>0.895833333333333</v>
      </c>
      <c r="C33" s="28" t="s">
        <v>35</v>
      </c>
      <c r="D33" s="28"/>
      <c r="E33" s="29"/>
      <c r="F33" s="30" t="s">
        <v>10</v>
      </c>
      <c r="G33" s="30"/>
      <c r="H33" s="31" t="n">
        <v>0.833333333333333</v>
      </c>
      <c r="I33" s="32" t="s">
        <v>34</v>
      </c>
      <c r="J33" s="32"/>
      <c r="K33" s="33" t="n">
        <v>0.416666666666667</v>
      </c>
      <c r="L33" s="34" t="s">
        <v>36</v>
      </c>
      <c r="M33" s="34"/>
    </row>
    <row r="34" customFormat="false" ht="14.25" hidden="false" customHeight="false" outlineLevel="0" collapsed="false">
      <c r="A34" s="26"/>
      <c r="B34" s="37" t="n">
        <v>0.986111111111111</v>
      </c>
      <c r="C34" s="28"/>
      <c r="D34" s="28"/>
      <c r="E34" s="38"/>
      <c r="F34" s="30"/>
      <c r="G34" s="30"/>
      <c r="H34" s="39" t="n">
        <v>1</v>
      </c>
      <c r="I34" s="32"/>
      <c r="J34" s="32"/>
      <c r="K34" s="40" t="n">
        <v>0.75</v>
      </c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0.090277777777778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0.166666666666667</v>
      </c>
      <c r="I35" s="48"/>
      <c r="J35" s="49"/>
      <c r="K35" s="54" t="n">
        <f aca="false">K34-K33</f>
        <v>0.333333333333333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10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/>
      <c r="L36" s="34" t="s">
        <v>10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10</v>
      </c>
      <c r="D39" s="28"/>
      <c r="E39" s="29"/>
      <c r="F39" s="30" t="s">
        <v>10</v>
      </c>
      <c r="G39" s="30"/>
      <c r="H39" s="31"/>
      <c r="I39" s="32" t="s">
        <v>10</v>
      </c>
      <c r="J39" s="32"/>
      <c r="K39" s="33"/>
      <c r="L39" s="34" t="s">
        <v>10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I21" activeCellId="0" sqref="I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31" t="s">
        <v>3</v>
      </c>
      <c r="N1" s="132" t="s">
        <v>4</v>
      </c>
      <c r="O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1.21875</v>
      </c>
      <c r="D2" s="14" t="n">
        <f aca="false">C2+Sprint_4!D2</f>
        <v>3.55833333333334</v>
      </c>
      <c r="E2" s="15" t="s">
        <v>11</v>
      </c>
      <c r="F2" s="16" t="n">
        <f aca="false" t="array" ref="F2:F2">SUM(E5:E41*(MOD(ROW(E5:E41)-2,3)=0))</f>
        <v>0</v>
      </c>
      <c r="G2" s="17" t="n">
        <f aca="false">F2+Sprint_4!G2</f>
        <v>1.91388888888889</v>
      </c>
      <c r="H2" s="18" t="s">
        <v>7</v>
      </c>
      <c r="I2" s="19" t="n">
        <f aca="false" t="array" ref="I2:I2">SUM(H5:H41*(MOD(ROW(H5:H41)-2,3)=0))</f>
        <v>1.07638888888889</v>
      </c>
      <c r="J2" s="20" t="n">
        <f aca="false">I2+Sprint_4!J2</f>
        <v>3.10972222222223</v>
      </c>
      <c r="K2" s="21" t="s">
        <v>8</v>
      </c>
      <c r="L2" s="22" t="n">
        <f aca="false" t="array" ref="L2:L2">SUM(K5:K41*(MOD(ROW(K5:K41)-2,3)=0))</f>
        <v>1.3125</v>
      </c>
      <c r="M2" s="133" t="n">
        <f aca="false">L2+Sprint_4!M2</f>
        <v>3.79930555555556</v>
      </c>
      <c r="N2" s="129" t="s">
        <v>2</v>
      </c>
      <c r="O2" s="130" t="n">
        <f aca="false">C2+F2+I2+L2</f>
        <v>3.60763888888889</v>
      </c>
    </row>
    <row r="3" customFormat="false" ht="15" hidden="false" customHeight="true" outlineLevel="0" collapsed="false">
      <c r="A3" s="26" t="n">
        <v>44599</v>
      </c>
      <c r="B3" s="27" t="n">
        <v>0.333333333333333</v>
      </c>
      <c r="C3" s="28" t="s">
        <v>37</v>
      </c>
      <c r="D3" s="28"/>
      <c r="E3" s="29"/>
      <c r="F3" s="30" t="s">
        <v>10</v>
      </c>
      <c r="G3" s="30"/>
      <c r="H3" s="31" t="n">
        <v>0.333333333333333</v>
      </c>
      <c r="I3" s="32" t="s">
        <v>37</v>
      </c>
      <c r="J3" s="32"/>
      <c r="K3" s="33"/>
      <c r="L3" s="34" t="s">
        <v>27</v>
      </c>
      <c r="M3" s="34"/>
      <c r="N3" s="129" t="s">
        <v>3</v>
      </c>
      <c r="O3" s="130" t="n">
        <f aca="false">D2+G2+J2+M2</f>
        <v>12.38125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/>
      <c r="F4" s="30"/>
      <c r="G4" s="30"/>
      <c r="H4" s="39" t="n">
        <v>0.416666666666667</v>
      </c>
      <c r="I4" s="32"/>
      <c r="J4" s="32"/>
      <c r="K4" s="40"/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</v>
      </c>
      <c r="L5" s="51"/>
      <c r="M5" s="52"/>
    </row>
    <row r="6" customFormat="false" ht="15" hidden="false" customHeight="true" outlineLevel="0" collapsed="false">
      <c r="A6" s="26" t="n">
        <v>44599</v>
      </c>
      <c r="B6" s="27" t="n">
        <v>0.607638888888889</v>
      </c>
      <c r="C6" s="28" t="s">
        <v>10</v>
      </c>
      <c r="D6" s="28"/>
      <c r="E6" s="29"/>
      <c r="F6" s="30" t="s">
        <v>10</v>
      </c>
      <c r="G6" s="30"/>
      <c r="H6" s="31" t="n">
        <v>0.607638888888889</v>
      </c>
      <c r="I6" s="32" t="s">
        <v>10</v>
      </c>
      <c r="J6" s="32"/>
      <c r="K6" s="53" t="n">
        <v>0.607638888888889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/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0.111111111111111</v>
      </c>
      <c r="I8" s="48"/>
      <c r="J8" s="49"/>
      <c r="K8" s="54" t="n">
        <f aca="false">K7-K6</f>
        <v>0.111111111111111</v>
      </c>
      <c r="L8" s="55"/>
      <c r="M8" s="56"/>
    </row>
    <row r="9" customFormat="false" ht="15" hidden="false" customHeight="true" outlineLevel="0" collapsed="false">
      <c r="A9" s="26" t="n">
        <v>44601</v>
      </c>
      <c r="B9" s="27" t="n">
        <v>0.493055555555556</v>
      </c>
      <c r="C9" s="28" t="s">
        <v>9</v>
      </c>
      <c r="D9" s="28"/>
      <c r="E9" s="29"/>
      <c r="F9" s="30" t="s">
        <v>27</v>
      </c>
      <c r="G9" s="30"/>
      <c r="H9" s="31" t="n">
        <v>0.493055555555556</v>
      </c>
      <c r="I9" s="32" t="s">
        <v>10</v>
      </c>
      <c r="J9" s="32"/>
      <c r="K9" s="57" t="n">
        <v>0.493055555555556</v>
      </c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/>
      <c r="F10" s="30"/>
      <c r="G10" s="30"/>
      <c r="H10" s="39" t="n">
        <v>0.527777777777778</v>
      </c>
      <c r="I10" s="32"/>
      <c r="J10" s="32"/>
      <c r="K10" s="40" t="n">
        <v>0.527777777777778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0.034722222222222</v>
      </c>
      <c r="I11" s="48"/>
      <c r="J11" s="49"/>
      <c r="K11" s="54" t="n">
        <f aca="false">K10-K9</f>
        <v>0.034722222222222</v>
      </c>
      <c r="L11" s="55"/>
      <c r="M11" s="56"/>
    </row>
    <row r="12" customFormat="false" ht="15" hidden="false" customHeight="true" outlineLevel="0" collapsed="false">
      <c r="A12" s="26" t="n">
        <v>44606</v>
      </c>
      <c r="B12" s="27" t="n">
        <v>0.333333333333333</v>
      </c>
      <c r="C12" s="28" t="s">
        <v>10</v>
      </c>
      <c r="D12" s="28"/>
      <c r="E12" s="29"/>
      <c r="F12" s="30" t="s">
        <v>10</v>
      </c>
      <c r="G12" s="30"/>
      <c r="H12" s="31" t="n">
        <v>0.333333333333333</v>
      </c>
      <c r="I12" s="32" t="s">
        <v>10</v>
      </c>
      <c r="J12" s="32"/>
      <c r="K12" s="57" t="n">
        <v>0.333333333333333</v>
      </c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0.40625</v>
      </c>
      <c r="C13" s="28"/>
      <c r="D13" s="28"/>
      <c r="E13" s="38"/>
      <c r="F13" s="30"/>
      <c r="G13" s="30"/>
      <c r="H13" s="39" t="n">
        <v>0.40625</v>
      </c>
      <c r="I13" s="32"/>
      <c r="J13" s="32"/>
      <c r="K13" s="58" t="n">
        <v>0.40625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0.072916666666667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0.072916666666667</v>
      </c>
      <c r="I14" s="48"/>
      <c r="J14" s="49"/>
      <c r="K14" s="59" t="n">
        <f aca="false">K13-K12</f>
        <v>0.072916666666667</v>
      </c>
      <c r="L14" s="59"/>
      <c r="M14" s="60"/>
    </row>
    <row r="15" customFormat="false" ht="15" hidden="false" customHeight="true" outlineLevel="0" collapsed="false">
      <c r="A15" s="26" t="n">
        <v>44606</v>
      </c>
      <c r="B15" s="27" t="n">
        <v>0.607638888888889</v>
      </c>
      <c r="C15" s="28" t="s">
        <v>10</v>
      </c>
      <c r="D15" s="28"/>
      <c r="E15" s="29"/>
      <c r="F15" s="30" t="s">
        <v>10</v>
      </c>
      <c r="G15" s="30"/>
      <c r="H15" s="31" t="n">
        <v>0.607638888888889</v>
      </c>
      <c r="I15" s="32" t="s">
        <v>10</v>
      </c>
      <c r="J15" s="32"/>
      <c r="K15" s="33" t="n">
        <v>0.607638888888889</v>
      </c>
      <c r="L15" s="34" t="s">
        <v>10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/>
      <c r="F16" s="30"/>
      <c r="G16" s="30"/>
      <c r="H16" s="39" t="n">
        <v>0.770833333333333</v>
      </c>
      <c r="I16" s="32"/>
      <c r="J16" s="32"/>
      <c r="K16" s="40" t="n">
        <v>0.71875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0.163194444444444</v>
      </c>
      <c r="I17" s="48"/>
      <c r="J17" s="49"/>
      <c r="K17" s="54" t="n">
        <f aca="false">K16-K15</f>
        <v>0.111111111111111</v>
      </c>
      <c r="L17" s="55"/>
      <c r="M17" s="56"/>
    </row>
    <row r="18" customFormat="false" ht="15" hidden="false" customHeight="true" outlineLevel="0" collapsed="false">
      <c r="A18" s="26" t="n">
        <v>44608</v>
      </c>
      <c r="B18" s="27" t="n">
        <v>0.493055555555556</v>
      </c>
      <c r="C18" s="28" t="s">
        <v>10</v>
      </c>
      <c r="D18" s="28"/>
      <c r="E18" s="29"/>
      <c r="F18" s="30" t="s">
        <v>10</v>
      </c>
      <c r="G18" s="30"/>
      <c r="H18" s="31" t="n">
        <v>0.493055555555556</v>
      </c>
      <c r="I18" s="32" t="s">
        <v>38</v>
      </c>
      <c r="J18" s="32"/>
      <c r="K18" s="57" t="n">
        <v>0.493055555555556</v>
      </c>
      <c r="L18" s="34" t="s">
        <v>10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/>
      <c r="F19" s="30"/>
      <c r="G19" s="30"/>
      <c r="H19" s="39" t="n">
        <v>0.527777777777778</v>
      </c>
      <c r="I19" s="32"/>
      <c r="J19" s="32"/>
      <c r="K19" s="40" t="n">
        <v>0.527777777777778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0.034722222222222</v>
      </c>
      <c r="I20" s="48"/>
      <c r="J20" s="49"/>
      <c r="K20" s="54" t="n">
        <f aca="false">K19-K18</f>
        <v>0.034722222222222</v>
      </c>
      <c r="L20" s="55"/>
      <c r="M20" s="56"/>
    </row>
    <row r="21" customFormat="false" ht="15" hidden="false" customHeight="true" outlineLevel="0" collapsed="false">
      <c r="A21" s="26" t="n">
        <v>44613</v>
      </c>
      <c r="B21" s="27" t="n">
        <v>0.666666666666667</v>
      </c>
      <c r="C21" s="28" t="s">
        <v>39</v>
      </c>
      <c r="D21" s="28"/>
      <c r="E21" s="29"/>
      <c r="F21" s="30" t="s">
        <v>10</v>
      </c>
      <c r="G21" s="30"/>
      <c r="H21" s="31"/>
      <c r="I21" s="32" t="s">
        <v>10</v>
      </c>
      <c r="J21" s="32"/>
      <c r="K21" s="33"/>
      <c r="L21" s="34" t="s">
        <v>10</v>
      </c>
      <c r="M21" s="34"/>
    </row>
    <row r="22" customFormat="false" ht="14.25" hidden="false" customHeight="false" outlineLevel="0" collapsed="false">
      <c r="A22" s="26"/>
      <c r="B22" s="37" t="n">
        <v>0.902777777777778</v>
      </c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0.236111111111111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 t="n">
        <v>44617</v>
      </c>
      <c r="B24" s="27" t="n">
        <v>0.583333333333333</v>
      </c>
      <c r="C24" s="28" t="s">
        <v>40</v>
      </c>
      <c r="D24" s="28"/>
      <c r="E24" s="29"/>
      <c r="F24" s="30" t="s">
        <v>10</v>
      </c>
      <c r="G24" s="30"/>
      <c r="H24" s="31"/>
      <c r="I24" s="32" t="s">
        <v>10</v>
      </c>
      <c r="J24" s="32"/>
      <c r="K24" s="33" t="n">
        <v>0.541666666666667</v>
      </c>
      <c r="L24" s="34" t="s">
        <v>41</v>
      </c>
      <c r="M24" s="34"/>
    </row>
    <row r="25" customFormat="false" ht="14.25" hidden="false" customHeight="false" outlineLevel="0" collapsed="false">
      <c r="A25" s="26"/>
      <c r="B25" s="37" t="n">
        <v>0.638888888888889</v>
      </c>
      <c r="C25" s="28"/>
      <c r="D25" s="28"/>
      <c r="E25" s="38"/>
      <c r="F25" s="30"/>
      <c r="G25" s="30"/>
      <c r="H25" s="39"/>
      <c r="I25" s="32"/>
      <c r="J25" s="32"/>
      <c r="K25" s="40" t="n">
        <v>0.666666666666667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0.0555555555555559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0.125</v>
      </c>
      <c r="L26" s="55"/>
      <c r="M26" s="56"/>
    </row>
    <row r="27" customFormat="false" ht="15" hidden="false" customHeight="true" outlineLevel="0" collapsed="false">
      <c r="A27" s="26" t="n">
        <v>44618</v>
      </c>
      <c r="B27" s="27"/>
      <c r="C27" s="28" t="s">
        <v>10</v>
      </c>
      <c r="D27" s="28"/>
      <c r="E27" s="29"/>
      <c r="F27" s="30" t="s">
        <v>10</v>
      </c>
      <c r="G27" s="30"/>
      <c r="H27" s="31"/>
      <c r="I27" s="32" t="s">
        <v>10</v>
      </c>
      <c r="J27" s="32"/>
      <c r="K27" s="57" t="n">
        <v>0.666666666666667</v>
      </c>
      <c r="L27" s="34" t="s">
        <v>42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 t="n">
        <v>0.791666666666667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0.125</v>
      </c>
      <c r="L29" s="55"/>
      <c r="M29" s="56"/>
    </row>
    <row r="30" customFormat="false" ht="15" hidden="false" customHeight="true" outlineLevel="0" collapsed="false">
      <c r="A30" s="26" t="n">
        <v>44619</v>
      </c>
      <c r="B30" s="27"/>
      <c r="C30" s="28" t="s">
        <v>10</v>
      </c>
      <c r="D30" s="28"/>
      <c r="E30" s="29"/>
      <c r="F30" s="30" t="s">
        <v>10</v>
      </c>
      <c r="G30" s="30"/>
      <c r="H30" s="31" t="n">
        <v>0.75</v>
      </c>
      <c r="I30" s="32" t="s">
        <v>43</v>
      </c>
      <c r="J30" s="32"/>
      <c r="K30" s="33" t="n">
        <v>0.333333333333333</v>
      </c>
      <c r="L30" s="34" t="s">
        <v>42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 t="n">
        <v>0.916666666666667</v>
      </c>
      <c r="I31" s="32"/>
      <c r="J31" s="32"/>
      <c r="K31" s="58" t="n">
        <v>0.5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0.166666666666667</v>
      </c>
      <c r="I32" s="48"/>
      <c r="J32" s="49"/>
      <c r="K32" s="61" t="n">
        <f aca="false">K31-K30</f>
        <v>0.166666666666667</v>
      </c>
      <c r="L32" s="61"/>
      <c r="M32" s="62"/>
    </row>
    <row r="33" customFormat="false" ht="15" hidden="false" customHeight="true" outlineLevel="0" collapsed="false">
      <c r="A33" s="26" t="n">
        <v>44620</v>
      </c>
      <c r="B33" s="27" t="n">
        <v>0.416666666666667</v>
      </c>
      <c r="C33" s="28" t="s">
        <v>44</v>
      </c>
      <c r="D33" s="28"/>
      <c r="E33" s="29"/>
      <c r="F33" s="30" t="s">
        <v>10</v>
      </c>
      <c r="G33" s="30"/>
      <c r="H33" s="31" t="n">
        <v>0.333333333333333</v>
      </c>
      <c r="I33" s="32" t="s">
        <v>43</v>
      </c>
      <c r="J33" s="32"/>
      <c r="K33" s="33"/>
      <c r="L33" s="34" t="s">
        <v>10</v>
      </c>
      <c r="M33" s="34"/>
    </row>
    <row r="34" customFormat="false" ht="14.25" hidden="false" customHeight="false" outlineLevel="0" collapsed="false">
      <c r="A34" s="26"/>
      <c r="B34" s="37" t="n">
        <v>0.625</v>
      </c>
      <c r="C34" s="28"/>
      <c r="D34" s="28"/>
      <c r="E34" s="38"/>
      <c r="F34" s="30"/>
      <c r="G34" s="30"/>
      <c r="H34" s="39" t="n">
        <v>0.458333333333333</v>
      </c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0.208333333333333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0.125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 t="n">
        <v>44624</v>
      </c>
      <c r="B36" s="27" t="n">
        <v>0.708333333333333</v>
      </c>
      <c r="C36" s="28" t="s">
        <v>45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 t="n">
        <v>0.75</v>
      </c>
      <c r="L36" s="34" t="s">
        <v>10</v>
      </c>
      <c r="M36" s="34"/>
    </row>
    <row r="37" customFormat="false" ht="14.25" hidden="false" customHeight="false" outlineLevel="0" collapsed="false">
      <c r="A37" s="26"/>
      <c r="B37" s="37" t="n">
        <v>0.916666666666667</v>
      </c>
      <c r="C37" s="28"/>
      <c r="D37" s="28"/>
      <c r="E37" s="38"/>
      <c r="F37" s="30"/>
      <c r="G37" s="30"/>
      <c r="H37" s="39"/>
      <c r="I37" s="32"/>
      <c r="J37" s="32"/>
      <c r="K37" s="40" t="n">
        <v>0.916666666666667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0.208333333333334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0.166666666666667</v>
      </c>
      <c r="L38" s="55"/>
      <c r="M38" s="56"/>
    </row>
    <row r="39" customFormat="false" ht="15" hidden="false" customHeight="true" outlineLevel="0" collapsed="false">
      <c r="A39" s="26" t="n">
        <v>44626</v>
      </c>
      <c r="B39" s="27" t="n">
        <v>0.541666666666667</v>
      </c>
      <c r="C39" s="28" t="s">
        <v>46</v>
      </c>
      <c r="D39" s="28"/>
      <c r="E39" s="29"/>
      <c r="F39" s="30" t="s">
        <v>10</v>
      </c>
      <c r="G39" s="30"/>
      <c r="H39" s="31" t="n">
        <v>0.590277777777778</v>
      </c>
      <c r="I39" s="32" t="s">
        <v>47</v>
      </c>
      <c r="J39" s="32"/>
      <c r="K39" s="33" t="n">
        <v>0.520833333333333</v>
      </c>
      <c r="L39" s="34" t="s">
        <v>10</v>
      </c>
      <c r="M39" s="34"/>
    </row>
    <row r="40" customFormat="false" ht="14.25" hidden="false" customHeight="false" outlineLevel="0" collapsed="false">
      <c r="A40" s="26"/>
      <c r="B40" s="37" t="n">
        <v>0.604166666666667</v>
      </c>
      <c r="C40" s="28"/>
      <c r="D40" s="28"/>
      <c r="E40" s="38"/>
      <c r="F40" s="30"/>
      <c r="G40" s="30"/>
      <c r="H40" s="39" t="n">
        <v>0.875</v>
      </c>
      <c r="I40" s="32"/>
      <c r="J40" s="32"/>
      <c r="K40" s="58" t="n">
        <v>0.885416666666667</v>
      </c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0.0625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0.284722222222222</v>
      </c>
      <c r="I41" s="48"/>
      <c r="J41" s="49"/>
      <c r="K41" s="61" t="n">
        <f aca="false">K40-K39</f>
        <v>0.364583333333334</v>
      </c>
      <c r="L41" s="61"/>
      <c r="M41" s="62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7" activeCellId="0" sqref="C27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8" t="s">
        <v>1</v>
      </c>
      <c r="F1" s="9" t="s">
        <v>2</v>
      </c>
      <c r="G1" s="8" t="s">
        <v>3</v>
      </c>
      <c r="H1" s="10" t="s">
        <v>1</v>
      </c>
      <c r="I1" s="10" t="s">
        <v>2</v>
      </c>
      <c r="J1" s="10" t="s">
        <v>3</v>
      </c>
      <c r="K1" s="134" t="s">
        <v>4</v>
      </c>
      <c r="L1" s="134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0.73263888888889</v>
      </c>
      <c r="D2" s="14" t="n">
        <f aca="false">C2+Sprint_5!D2</f>
        <v>4.29097222222223</v>
      </c>
      <c r="E2" s="18" t="s">
        <v>7</v>
      </c>
      <c r="F2" s="19" t="n">
        <f aca="false" t="array" ref="F2:F2">SUM(E5:E41*(MOD(ROW(E5:E41)-2,3)=0))</f>
        <v>0.590277777777778</v>
      </c>
      <c r="G2" s="20" t="n">
        <f aca="false">F2+Sprint_5!J2</f>
        <v>3.7</v>
      </c>
      <c r="H2" s="21" t="s">
        <v>8</v>
      </c>
      <c r="I2" s="22" t="n">
        <f aca="false" t="array" ref="I2:I2">SUM(H5:H41*(MOD(ROW(H5:H41)-2,3)=0))</f>
        <v>0.979166666666668</v>
      </c>
      <c r="J2" s="23" t="n">
        <f aca="false">I2+Sprint_5!M2</f>
        <v>4.77847222222223</v>
      </c>
      <c r="K2" s="135" t="s">
        <v>2</v>
      </c>
      <c r="L2" s="136" t="n">
        <f aca="false">C2+F2+I2</f>
        <v>2.30208333333334</v>
      </c>
    </row>
    <row r="3" customFormat="false" ht="15" hidden="false" customHeight="true" outlineLevel="0" collapsed="false">
      <c r="A3" s="26" t="n">
        <v>44627</v>
      </c>
      <c r="B3" s="27" t="n">
        <v>0.333333333333333</v>
      </c>
      <c r="C3" s="28" t="s">
        <v>37</v>
      </c>
      <c r="D3" s="28"/>
      <c r="E3" s="31" t="n">
        <v>0.333333333333333</v>
      </c>
      <c r="F3" s="32" t="s">
        <v>37</v>
      </c>
      <c r="G3" s="32"/>
      <c r="H3" s="33" t="n">
        <v>0.333333333333333</v>
      </c>
      <c r="I3" s="34" t="s">
        <v>37</v>
      </c>
      <c r="J3" s="34"/>
      <c r="K3" s="137" t="s">
        <v>3</v>
      </c>
      <c r="L3" s="36" t="n">
        <f aca="false">D2+Sprint_5!G2+G2+J2</f>
        <v>14.6833333333334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9" t="n">
        <v>0.416666666666667</v>
      </c>
      <c r="F4" s="32"/>
      <c r="G4" s="32"/>
      <c r="H4" s="40" t="n">
        <v>0.416666666666667</v>
      </c>
      <c r="I4" s="34"/>
      <c r="J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7" t="n">
        <f aca="false">E4-E3</f>
        <v>0.083333333333334</v>
      </c>
      <c r="F5" s="48"/>
      <c r="G5" s="49"/>
      <c r="H5" s="50" t="n">
        <f aca="false">H4-H3</f>
        <v>0.083333333333334</v>
      </c>
      <c r="I5" s="51"/>
      <c r="J5" s="52"/>
    </row>
    <row r="6" customFormat="false" ht="15" hidden="false" customHeight="true" outlineLevel="0" collapsed="false">
      <c r="A6" s="26" t="n">
        <v>44629</v>
      </c>
      <c r="B6" s="27" t="n">
        <v>0.645833333333333</v>
      </c>
      <c r="C6" s="28" t="s">
        <v>44</v>
      </c>
      <c r="D6" s="28"/>
      <c r="E6" s="31" t="n">
        <v>0.493055555555556</v>
      </c>
      <c r="F6" s="32" t="s">
        <v>48</v>
      </c>
      <c r="G6" s="32"/>
      <c r="H6" s="53"/>
      <c r="I6" s="34" t="s">
        <v>9</v>
      </c>
      <c r="J6" s="34"/>
    </row>
    <row r="7" customFormat="false" ht="14.25" hidden="false" customHeight="false" outlineLevel="0" collapsed="false">
      <c r="A7" s="26"/>
      <c r="B7" s="37" t="n">
        <v>0.75</v>
      </c>
      <c r="C7" s="28"/>
      <c r="D7" s="28"/>
      <c r="E7" s="39" t="n">
        <v>0.527777777777778</v>
      </c>
      <c r="F7" s="32"/>
      <c r="G7" s="32"/>
      <c r="H7" s="40"/>
      <c r="I7" s="34"/>
      <c r="J7" s="34"/>
    </row>
    <row r="8" customFormat="false" ht="14.25" hidden="false" customHeight="false" outlineLevel="0" collapsed="false">
      <c r="A8" s="26"/>
      <c r="B8" s="41" t="n">
        <f aca="false">B7-B6</f>
        <v>0.104166666666667</v>
      </c>
      <c r="C8" s="42"/>
      <c r="D8" s="43"/>
      <c r="E8" s="47" t="n">
        <f aca="false">E7-E6</f>
        <v>0.034722222222222</v>
      </c>
      <c r="F8" s="48"/>
      <c r="G8" s="49"/>
      <c r="H8" s="54" t="n">
        <f aca="false">H7-H6</f>
        <v>0</v>
      </c>
      <c r="I8" s="55"/>
      <c r="J8" s="56"/>
    </row>
    <row r="9" customFormat="false" ht="15" hidden="false" customHeight="true" outlineLevel="0" collapsed="false">
      <c r="A9" s="26" t="n">
        <v>44634</v>
      </c>
      <c r="B9" s="27" t="n">
        <v>0.333333333333333</v>
      </c>
      <c r="C9" s="28" t="s">
        <v>9</v>
      </c>
      <c r="D9" s="28"/>
      <c r="E9" s="31" t="n">
        <v>0.333333333333333</v>
      </c>
      <c r="F9" s="32" t="s">
        <v>49</v>
      </c>
      <c r="G9" s="32"/>
      <c r="H9" s="57"/>
      <c r="I9" s="34" t="s">
        <v>10</v>
      </c>
      <c r="J9" s="34"/>
    </row>
    <row r="10" customFormat="false" ht="14.25" hidden="false" customHeight="false" outlineLevel="0" collapsed="false">
      <c r="A10" s="26"/>
      <c r="B10" s="37" t="n">
        <v>0.416666666666667</v>
      </c>
      <c r="C10" s="28"/>
      <c r="D10" s="28"/>
      <c r="E10" s="39" t="n">
        <v>0.416666666666667</v>
      </c>
      <c r="F10" s="32"/>
      <c r="G10" s="32"/>
      <c r="H10" s="40"/>
      <c r="I10" s="34"/>
      <c r="J10" s="34"/>
    </row>
    <row r="11" customFormat="false" ht="14.25" hidden="false" customHeight="false" outlineLevel="0" collapsed="false">
      <c r="A11" s="26"/>
      <c r="B11" s="41" t="n">
        <f aca="false">(B10-B9)</f>
        <v>0.083333333333334</v>
      </c>
      <c r="C11" s="42"/>
      <c r="D11" s="43"/>
      <c r="E11" s="47" t="n">
        <f aca="false">E10-E9</f>
        <v>0.083333333333334</v>
      </c>
      <c r="F11" s="48"/>
      <c r="G11" s="49"/>
      <c r="H11" s="54" t="n">
        <f aca="false">H10-H9</f>
        <v>0</v>
      </c>
      <c r="I11" s="55"/>
      <c r="J11" s="56"/>
    </row>
    <row r="12" customFormat="false" ht="15" hidden="false" customHeight="true" outlineLevel="0" collapsed="false">
      <c r="A12" s="26" t="n">
        <v>44634</v>
      </c>
      <c r="B12" s="27" t="n">
        <v>0.607638888888889</v>
      </c>
      <c r="C12" s="28" t="s">
        <v>10</v>
      </c>
      <c r="D12" s="28"/>
      <c r="E12" s="31" t="n">
        <v>0.666666666666667</v>
      </c>
      <c r="F12" s="32" t="s">
        <v>50</v>
      </c>
      <c r="G12" s="32"/>
      <c r="H12" s="57"/>
      <c r="I12" s="34" t="s">
        <v>10</v>
      </c>
      <c r="J12" s="34"/>
    </row>
    <row r="13" customFormat="false" ht="14.25" hidden="false" customHeight="false" outlineLevel="0" collapsed="false">
      <c r="A13" s="26"/>
      <c r="B13" s="37" t="n">
        <v>0.71875</v>
      </c>
      <c r="C13" s="28"/>
      <c r="D13" s="28"/>
      <c r="E13" s="39" t="n">
        <v>0.708333333333333</v>
      </c>
      <c r="F13" s="32"/>
      <c r="G13" s="32"/>
      <c r="H13" s="58"/>
      <c r="I13" s="34"/>
      <c r="J13" s="34"/>
    </row>
    <row r="14" customFormat="false" ht="14.25" hidden="false" customHeight="false" outlineLevel="0" collapsed="false">
      <c r="A14" s="26"/>
      <c r="B14" s="41" t="n">
        <f aca="false">(B13-B12)</f>
        <v>0.111111111111111</v>
      </c>
      <c r="C14" s="42"/>
      <c r="D14" s="43"/>
      <c r="E14" s="47" t="n">
        <f aca="false">E13-E12</f>
        <v>0.0416666666666661</v>
      </c>
      <c r="F14" s="48"/>
      <c r="G14" s="49"/>
      <c r="H14" s="59" t="n">
        <f aca="false">H13-H12</f>
        <v>0</v>
      </c>
      <c r="I14" s="59"/>
      <c r="J14" s="60"/>
    </row>
    <row r="15" customFormat="false" ht="15" hidden="false" customHeight="true" outlineLevel="0" collapsed="false">
      <c r="A15" s="26" t="n">
        <v>44636</v>
      </c>
      <c r="B15" s="27" t="n">
        <v>0.493055555555556</v>
      </c>
      <c r="C15" s="28" t="s">
        <v>10</v>
      </c>
      <c r="D15" s="28"/>
      <c r="E15" s="31" t="n">
        <v>0.493055555555556</v>
      </c>
      <c r="F15" s="32" t="s">
        <v>51</v>
      </c>
      <c r="G15" s="32"/>
      <c r="H15" s="33"/>
      <c r="I15" s="34" t="s">
        <v>10</v>
      </c>
      <c r="J15" s="34"/>
    </row>
    <row r="16" customFormat="false" ht="14.25" hidden="false" customHeight="false" outlineLevel="0" collapsed="false">
      <c r="A16" s="26"/>
      <c r="B16" s="37" t="n">
        <v>0.604166666666667</v>
      </c>
      <c r="C16" s="28"/>
      <c r="D16" s="28"/>
      <c r="E16" s="39" t="n">
        <v>0.527777777777778</v>
      </c>
      <c r="F16" s="32"/>
      <c r="G16" s="32"/>
      <c r="H16" s="40"/>
      <c r="I16" s="34"/>
      <c r="J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7" t="n">
        <f aca="false">E16-E15</f>
        <v>0.034722222222222</v>
      </c>
      <c r="F17" s="48"/>
      <c r="G17" s="49"/>
      <c r="H17" s="54" t="n">
        <f aca="false">H16-H15</f>
        <v>0</v>
      </c>
      <c r="I17" s="55"/>
      <c r="J17" s="56"/>
    </row>
    <row r="18" customFormat="false" ht="15" hidden="false" customHeight="true" outlineLevel="0" collapsed="false">
      <c r="A18" s="26" t="n">
        <v>44638</v>
      </c>
      <c r="B18" s="27" t="n">
        <v>0.916666666666667</v>
      </c>
      <c r="C18" s="28" t="s">
        <v>10</v>
      </c>
      <c r="D18" s="28"/>
      <c r="E18" s="31"/>
      <c r="F18" s="32" t="s">
        <v>10</v>
      </c>
      <c r="G18" s="32"/>
      <c r="H18" s="57" t="n">
        <v>0.583333333333333</v>
      </c>
      <c r="I18" s="34" t="s">
        <v>10</v>
      </c>
      <c r="J18" s="34"/>
    </row>
    <row r="19" customFormat="false" ht="14.25" hidden="false" customHeight="false" outlineLevel="0" collapsed="false">
      <c r="A19" s="26"/>
      <c r="B19" s="37" t="n">
        <v>0.958333333333333</v>
      </c>
      <c r="C19" s="28"/>
      <c r="D19" s="28"/>
      <c r="E19" s="39"/>
      <c r="F19" s="32"/>
      <c r="G19" s="32"/>
      <c r="H19" s="40" t="n">
        <v>0.833333333333333</v>
      </c>
      <c r="I19" s="34"/>
      <c r="J19" s="34"/>
    </row>
    <row r="20" customFormat="false" ht="14.25" hidden="false" customHeight="false" outlineLevel="0" collapsed="false">
      <c r="A20" s="26"/>
      <c r="B20" s="41" t="n">
        <f aca="false">(B19-B18)</f>
        <v>0.0416666666666661</v>
      </c>
      <c r="C20" s="42"/>
      <c r="D20" s="43"/>
      <c r="E20" s="47" t="n">
        <f aca="false">E19-E18</f>
        <v>0</v>
      </c>
      <c r="F20" s="48"/>
      <c r="G20" s="49"/>
      <c r="H20" s="54" t="n">
        <f aca="false">H19-H18</f>
        <v>0.25</v>
      </c>
      <c r="I20" s="55"/>
      <c r="J20" s="56"/>
    </row>
    <row r="21" customFormat="false" ht="15" hidden="false" customHeight="true" outlineLevel="0" collapsed="false">
      <c r="A21" s="26" t="n">
        <v>44639</v>
      </c>
      <c r="B21" s="27" t="n">
        <v>0.84375</v>
      </c>
      <c r="C21" s="28" t="s">
        <v>10</v>
      </c>
      <c r="D21" s="28"/>
      <c r="E21" s="31"/>
      <c r="F21" s="32" t="s">
        <v>10</v>
      </c>
      <c r="G21" s="32"/>
      <c r="H21" s="33" t="n">
        <v>0.583333333333333</v>
      </c>
      <c r="I21" s="34" t="s">
        <v>10</v>
      </c>
      <c r="J21" s="34"/>
    </row>
    <row r="22" customFormat="false" ht="14.25" hidden="false" customHeight="false" outlineLevel="0" collapsed="false">
      <c r="A22" s="26"/>
      <c r="B22" s="37" t="n">
        <v>0.916666666666667</v>
      </c>
      <c r="C22" s="28"/>
      <c r="D22" s="28"/>
      <c r="E22" s="39"/>
      <c r="F22" s="32"/>
      <c r="G22" s="32"/>
      <c r="H22" s="58" t="n">
        <v>0.833333333333333</v>
      </c>
      <c r="I22" s="34"/>
      <c r="J22" s="34"/>
    </row>
    <row r="23" customFormat="false" ht="14.25" hidden="false" customHeight="false" outlineLevel="0" collapsed="false">
      <c r="A23" s="26"/>
      <c r="B23" s="41" t="n">
        <f aca="false">(B22-B21)</f>
        <v>0.072916666666667</v>
      </c>
      <c r="C23" s="42"/>
      <c r="D23" s="43"/>
      <c r="E23" s="47" t="n">
        <f aca="false">E22-E21</f>
        <v>0</v>
      </c>
      <c r="F23" s="48"/>
      <c r="G23" s="49"/>
      <c r="H23" s="61" t="n">
        <f aca="false">H22-H21</f>
        <v>0.25</v>
      </c>
      <c r="I23" s="61"/>
      <c r="J23" s="62"/>
    </row>
    <row r="24" customFormat="false" ht="15" hidden="false" customHeight="true" outlineLevel="0" collapsed="false">
      <c r="A24" s="26" t="n">
        <v>44640</v>
      </c>
      <c r="B24" s="27" t="n">
        <v>0.791666666666667</v>
      </c>
      <c r="C24" s="28" t="s">
        <v>52</v>
      </c>
      <c r="D24" s="28"/>
      <c r="E24" s="31" t="n">
        <v>0.666666666666667</v>
      </c>
      <c r="F24" s="32" t="s">
        <v>53</v>
      </c>
      <c r="G24" s="32"/>
      <c r="H24" s="33" t="n">
        <v>0.458333333333333</v>
      </c>
      <c r="I24" s="34" t="s">
        <v>10</v>
      </c>
      <c r="J24" s="34"/>
    </row>
    <row r="25" customFormat="false" ht="14.25" hidden="false" customHeight="false" outlineLevel="0" collapsed="false">
      <c r="A25" s="26"/>
      <c r="B25" s="37" t="n">
        <v>0.916666666666667</v>
      </c>
      <c r="C25" s="28"/>
      <c r="D25" s="28"/>
      <c r="E25" s="39" t="n">
        <v>0.979166666666667</v>
      </c>
      <c r="F25" s="32"/>
      <c r="G25" s="32"/>
      <c r="H25" s="40" t="n">
        <v>0.854166666666667</v>
      </c>
      <c r="I25" s="34"/>
      <c r="J25" s="34"/>
    </row>
    <row r="26" customFormat="false" ht="14.25" hidden="false" customHeight="false" outlineLevel="0" collapsed="false">
      <c r="A26" s="26"/>
      <c r="B26" s="41" t="n">
        <f aca="false">(B25-B24)</f>
        <v>0.125</v>
      </c>
      <c r="C26" s="42"/>
      <c r="D26" s="43"/>
      <c r="E26" s="47" t="n">
        <f aca="false">E25-E24</f>
        <v>0.3125</v>
      </c>
      <c r="F26" s="48"/>
      <c r="G26" s="49"/>
      <c r="H26" s="54" t="n">
        <f aca="false">H25-H24</f>
        <v>0.395833333333334</v>
      </c>
      <c r="I26" s="55"/>
      <c r="J26" s="56"/>
    </row>
    <row r="27" customFormat="false" ht="15" hidden="false" customHeight="true" outlineLevel="0" collapsed="false">
      <c r="A27" s="26"/>
      <c r="B27" s="27"/>
      <c r="C27" s="28" t="s">
        <v>10</v>
      </c>
      <c r="D27" s="28"/>
      <c r="E27" s="31"/>
      <c r="F27" s="32" t="s">
        <v>10</v>
      </c>
      <c r="G27" s="32"/>
      <c r="H27" s="57"/>
      <c r="I27" s="34" t="s">
        <v>10</v>
      </c>
      <c r="J27" s="34"/>
    </row>
    <row r="28" customFormat="false" ht="14.25" hidden="false" customHeight="false" outlineLevel="0" collapsed="false">
      <c r="A28" s="26"/>
      <c r="B28" s="37"/>
      <c r="C28" s="28"/>
      <c r="D28" s="28"/>
      <c r="E28" s="39"/>
      <c r="F28" s="32"/>
      <c r="G28" s="32"/>
      <c r="H28" s="40"/>
      <c r="I28" s="34"/>
      <c r="J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7" t="n">
        <f aca="false">E28-E27</f>
        <v>0</v>
      </c>
      <c r="F29" s="48"/>
      <c r="G29" s="49"/>
      <c r="H29" s="54" t="n">
        <f aca="false">H28-H27</f>
        <v>0</v>
      </c>
      <c r="I29" s="55"/>
      <c r="J29" s="56"/>
    </row>
    <row r="30" customFormat="false" ht="15" hidden="false" customHeight="true" outlineLevel="0" collapsed="false">
      <c r="A30" s="26"/>
      <c r="B30" s="27"/>
      <c r="C30" s="28" t="s">
        <v>10</v>
      </c>
      <c r="D30" s="28"/>
      <c r="E30" s="31"/>
      <c r="F30" s="32" t="s">
        <v>10</v>
      </c>
      <c r="G30" s="32"/>
      <c r="H30" s="33"/>
      <c r="I30" s="34" t="s">
        <v>10</v>
      </c>
      <c r="J30" s="34"/>
    </row>
    <row r="31" customFormat="false" ht="14.25" hidden="false" customHeight="false" outlineLevel="0" collapsed="false">
      <c r="A31" s="26"/>
      <c r="B31" s="37"/>
      <c r="C31" s="28"/>
      <c r="D31" s="28"/>
      <c r="E31" s="39"/>
      <c r="F31" s="32"/>
      <c r="G31" s="32"/>
      <c r="H31" s="58"/>
      <c r="I31" s="34"/>
      <c r="J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7" t="n">
        <f aca="false">E31-E30</f>
        <v>0</v>
      </c>
      <c r="F32" s="48"/>
      <c r="G32" s="49"/>
      <c r="H32" s="61" t="n">
        <f aca="false">H31-H30</f>
        <v>0</v>
      </c>
      <c r="I32" s="61"/>
      <c r="J32" s="62"/>
    </row>
    <row r="33" customFormat="false" ht="15" hidden="false" customHeight="true" outlineLevel="0" collapsed="false">
      <c r="A33" s="26"/>
      <c r="B33" s="27"/>
      <c r="C33" s="28" t="s">
        <v>10</v>
      </c>
      <c r="D33" s="28"/>
      <c r="E33" s="31"/>
      <c r="F33" s="32" t="s">
        <v>10</v>
      </c>
      <c r="G33" s="32"/>
      <c r="H33" s="33"/>
      <c r="I33" s="34" t="s">
        <v>10</v>
      </c>
      <c r="J33" s="34"/>
    </row>
    <row r="34" customFormat="false" ht="14.25" hidden="false" customHeight="false" outlineLevel="0" collapsed="false">
      <c r="A34" s="26"/>
      <c r="B34" s="37"/>
      <c r="C34" s="28"/>
      <c r="D34" s="28"/>
      <c r="E34" s="39"/>
      <c r="F34" s="32"/>
      <c r="G34" s="32"/>
      <c r="H34" s="40"/>
      <c r="I34" s="34"/>
      <c r="J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7" t="n">
        <f aca="false">E34-E33</f>
        <v>0</v>
      </c>
      <c r="F35" s="48"/>
      <c r="G35" s="49"/>
      <c r="H35" s="54" t="n">
        <f aca="false">H34-H33</f>
        <v>0</v>
      </c>
      <c r="I35" s="55"/>
      <c r="J35" s="56"/>
    </row>
    <row r="36" customFormat="false" ht="15" hidden="false" customHeight="true" outlineLevel="0" collapsed="false">
      <c r="A36" s="26"/>
      <c r="B36" s="27"/>
      <c r="C36" s="28" t="s">
        <v>10</v>
      </c>
      <c r="D36" s="28"/>
      <c r="E36" s="31"/>
      <c r="F36" s="32" t="s">
        <v>10</v>
      </c>
      <c r="G36" s="32"/>
      <c r="H36" s="57"/>
      <c r="I36" s="34" t="s">
        <v>10</v>
      </c>
      <c r="J36" s="34"/>
    </row>
    <row r="37" customFormat="false" ht="14.25" hidden="false" customHeight="false" outlineLevel="0" collapsed="false">
      <c r="A37" s="26"/>
      <c r="B37" s="37"/>
      <c r="C37" s="28"/>
      <c r="D37" s="28"/>
      <c r="E37" s="39"/>
      <c r="F37" s="32"/>
      <c r="G37" s="32"/>
      <c r="H37" s="40"/>
      <c r="I37" s="34"/>
      <c r="J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7" t="n">
        <f aca="false">E37-E36</f>
        <v>0</v>
      </c>
      <c r="F38" s="48"/>
      <c r="G38" s="49"/>
      <c r="H38" s="54" t="n">
        <f aca="false">H37-H36</f>
        <v>0</v>
      </c>
      <c r="I38" s="55"/>
      <c r="J38" s="56"/>
    </row>
    <row r="39" customFormat="false" ht="15" hidden="false" customHeight="true" outlineLevel="0" collapsed="false">
      <c r="A39" s="26"/>
      <c r="B39" s="27"/>
      <c r="C39" s="28" t="s">
        <v>10</v>
      </c>
      <c r="D39" s="28"/>
      <c r="E39" s="31"/>
      <c r="F39" s="32" t="s">
        <v>10</v>
      </c>
      <c r="G39" s="32"/>
      <c r="H39" s="33"/>
      <c r="I39" s="34" t="s">
        <v>10</v>
      </c>
      <c r="J39" s="34"/>
    </row>
    <row r="40" customFormat="false" ht="14.25" hidden="false" customHeight="false" outlineLevel="0" collapsed="false">
      <c r="A40" s="26"/>
      <c r="B40" s="37"/>
      <c r="C40" s="28"/>
      <c r="D40" s="28"/>
      <c r="E40" s="39"/>
      <c r="F40" s="32"/>
      <c r="G40" s="32"/>
      <c r="H40" s="58"/>
      <c r="I40" s="34"/>
      <c r="J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7" t="n">
        <f aca="false">E40-E39</f>
        <v>0</v>
      </c>
      <c r="F41" s="48"/>
      <c r="G41" s="49"/>
      <c r="H41" s="61" t="n">
        <f aca="false">H40-H39</f>
        <v>0</v>
      </c>
      <c r="I41" s="61"/>
      <c r="J41" s="62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7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33" activeCellId="0" sqref="H3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8" t="s">
        <v>1</v>
      </c>
      <c r="F1" s="9" t="s">
        <v>2</v>
      </c>
      <c r="G1" s="8" t="s">
        <v>3</v>
      </c>
      <c r="H1" s="10" t="s">
        <v>1</v>
      </c>
      <c r="I1" s="10" t="s">
        <v>2</v>
      </c>
      <c r="J1" s="131" t="s">
        <v>3</v>
      </c>
      <c r="K1" s="132" t="s">
        <v>4</v>
      </c>
      <c r="L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SUM(B5:B77*(MOD(ROW(B5:B77)-2,3)=0))</f>
        <v>0.812500000000001</v>
      </c>
      <c r="D2" s="14" t="n">
        <f aca="false">C2+Sprint_6!D2</f>
        <v>5.10347222222223</v>
      </c>
      <c r="E2" s="18" t="s">
        <v>7</v>
      </c>
      <c r="F2" s="19" t="n">
        <f aca="false" t="array" ref="F2:F2">SUM(E5:E77*(MOD(ROW(E5:E77)-2,3)=0))</f>
        <v>0.611111111111112</v>
      </c>
      <c r="G2" s="20" t="n">
        <f aca="false">F2+Sprint_6!G2</f>
        <v>4.31111111111112</v>
      </c>
      <c r="H2" s="21" t="s">
        <v>8</v>
      </c>
      <c r="I2" s="22" t="n">
        <f aca="false" t="array" ref="I2:I2">SUM(H5:H77*(MOD(ROW(H5:H77)-2,3)=0))</f>
        <v>1.60416666666667</v>
      </c>
      <c r="J2" s="133" t="n">
        <f aca="false">I2+Sprint_6!J2</f>
        <v>6.3826388888889</v>
      </c>
      <c r="K2" s="129" t="s">
        <v>2</v>
      </c>
      <c r="L2" s="130" t="n">
        <f aca="false">C2+F2+I2</f>
        <v>3.02777777777778</v>
      </c>
    </row>
    <row r="3" customFormat="false" ht="15" hidden="false" customHeight="true" outlineLevel="0" collapsed="false">
      <c r="A3" s="26" t="n">
        <v>44641</v>
      </c>
      <c r="B3" s="27" t="n">
        <v>0.333333333333333</v>
      </c>
      <c r="C3" s="28" t="s">
        <v>37</v>
      </c>
      <c r="D3" s="28"/>
      <c r="E3" s="31" t="n">
        <v>0.333333333333333</v>
      </c>
      <c r="F3" s="32" t="s">
        <v>37</v>
      </c>
      <c r="G3" s="32"/>
      <c r="H3" s="33" t="n">
        <v>0.333333333333333</v>
      </c>
      <c r="I3" s="34" t="s">
        <v>37</v>
      </c>
      <c r="J3" s="34"/>
      <c r="K3" s="129" t="s">
        <v>3</v>
      </c>
      <c r="L3" s="130" t="n">
        <f aca="false">D2+G2+J2</f>
        <v>15.7972222222222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9" t="n">
        <v>0.416666666666667</v>
      </c>
      <c r="F4" s="32"/>
      <c r="G4" s="32"/>
      <c r="H4" s="40" t="n">
        <v>0.416666666666667</v>
      </c>
      <c r="I4" s="34"/>
      <c r="J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7" t="n">
        <f aca="false">E4-E3</f>
        <v>0.083333333333334</v>
      </c>
      <c r="F5" s="48"/>
      <c r="G5" s="49"/>
      <c r="H5" s="50" t="n">
        <f aca="false">H4-H3</f>
        <v>0.083333333333334</v>
      </c>
      <c r="I5" s="51"/>
      <c r="J5" s="52"/>
    </row>
    <row r="6" customFormat="false" ht="15" hidden="false" customHeight="true" outlineLevel="0" collapsed="false">
      <c r="A6" s="26" t="n">
        <v>44641</v>
      </c>
      <c r="B6" s="27" t="n">
        <v>0.607638888888889</v>
      </c>
      <c r="C6" s="28" t="s">
        <v>52</v>
      </c>
      <c r="D6" s="28"/>
      <c r="E6" s="31" t="n">
        <v>0.607638888888889</v>
      </c>
      <c r="F6" s="32" t="s">
        <v>10</v>
      </c>
      <c r="G6" s="32"/>
      <c r="H6" s="53" t="n">
        <v>0.607638888888889</v>
      </c>
      <c r="I6" s="34" t="s">
        <v>9</v>
      </c>
      <c r="J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9" t="n">
        <v>0.71875</v>
      </c>
      <c r="F7" s="32"/>
      <c r="G7" s="32"/>
      <c r="H7" s="40" t="n">
        <v>0.71875</v>
      </c>
      <c r="I7" s="34"/>
      <c r="J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7" t="n">
        <f aca="false">E7-E6</f>
        <v>0.111111111111111</v>
      </c>
      <c r="F8" s="48"/>
      <c r="G8" s="49"/>
      <c r="H8" s="54" t="n">
        <f aca="false">H7-H6</f>
        <v>0.111111111111111</v>
      </c>
      <c r="I8" s="55"/>
      <c r="J8" s="56"/>
    </row>
    <row r="9" customFormat="false" ht="15" hidden="false" customHeight="true" outlineLevel="0" collapsed="false">
      <c r="A9" s="26" t="n">
        <v>44643</v>
      </c>
      <c r="B9" s="27" t="n">
        <v>0.493055555555556</v>
      </c>
      <c r="C9" s="28" t="s">
        <v>54</v>
      </c>
      <c r="D9" s="28"/>
      <c r="E9" s="31" t="n">
        <v>0.493055555555556</v>
      </c>
      <c r="F9" s="32" t="s">
        <v>10</v>
      </c>
      <c r="G9" s="32"/>
      <c r="H9" s="57" t="n">
        <v>0.493055555555556</v>
      </c>
      <c r="I9" s="34" t="s">
        <v>10</v>
      </c>
      <c r="J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9" t="n">
        <v>0.527777777777778</v>
      </c>
      <c r="F10" s="32"/>
      <c r="G10" s="32"/>
      <c r="H10" s="40" t="n">
        <v>0.527777777777778</v>
      </c>
      <c r="I10" s="34"/>
      <c r="J10" s="34"/>
    </row>
    <row r="11" customFormat="false" ht="14.25" hidden="false" customHeight="false" outlineLevel="0" collapsed="false">
      <c r="A11" s="26"/>
      <c r="B11" s="41" t="n">
        <f aca="false">(B10-B9)</f>
        <v>0.034722222222222</v>
      </c>
      <c r="C11" s="42"/>
      <c r="D11" s="43"/>
      <c r="E11" s="47" t="n">
        <f aca="false">E10-E9</f>
        <v>0.034722222222222</v>
      </c>
      <c r="F11" s="48"/>
      <c r="G11" s="49"/>
      <c r="H11" s="54" t="n">
        <f aca="false">H10-H9</f>
        <v>0.034722222222222</v>
      </c>
      <c r="I11" s="55"/>
      <c r="J11" s="56"/>
    </row>
    <row r="12" customFormat="false" ht="15" hidden="false" customHeight="true" outlineLevel="0" collapsed="false">
      <c r="A12" s="26" t="n">
        <v>44648</v>
      </c>
      <c r="B12" s="27" t="n">
        <v>0.333333333333333</v>
      </c>
      <c r="C12" s="28" t="s">
        <v>55</v>
      </c>
      <c r="D12" s="28"/>
      <c r="E12" s="31" t="n">
        <v>0.333333333333333</v>
      </c>
      <c r="F12" s="32" t="s">
        <v>10</v>
      </c>
      <c r="G12" s="32"/>
      <c r="H12" s="57" t="n">
        <v>0.333333333333333</v>
      </c>
      <c r="I12" s="34" t="s">
        <v>10</v>
      </c>
      <c r="J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9" t="n">
        <v>0.416666666666667</v>
      </c>
      <c r="F13" s="32"/>
      <c r="G13" s="32"/>
      <c r="H13" s="58" t="n">
        <v>0.416666666666667</v>
      </c>
      <c r="I13" s="34"/>
      <c r="J13" s="34"/>
    </row>
    <row r="14" customFormat="false" ht="14.25" hidden="false" customHeight="false" outlineLevel="0" collapsed="false">
      <c r="A14" s="26"/>
      <c r="B14" s="41" t="n">
        <f aca="false">(B13-B12)</f>
        <v>0.083333333333334</v>
      </c>
      <c r="C14" s="42"/>
      <c r="D14" s="43"/>
      <c r="E14" s="47" t="n">
        <f aca="false">E13-E12</f>
        <v>0.083333333333334</v>
      </c>
      <c r="F14" s="48"/>
      <c r="G14" s="49"/>
      <c r="H14" s="59" t="n">
        <f aca="false">H13-H12</f>
        <v>0.083333333333334</v>
      </c>
      <c r="I14" s="59"/>
      <c r="J14" s="60"/>
    </row>
    <row r="15" customFormat="false" ht="15" hidden="false" customHeight="true" outlineLevel="0" collapsed="false">
      <c r="A15" s="26" t="n">
        <v>44648</v>
      </c>
      <c r="B15" s="27" t="n">
        <v>0.607638888888889</v>
      </c>
      <c r="C15" s="28" t="s">
        <v>56</v>
      </c>
      <c r="D15" s="28"/>
      <c r="E15" s="31" t="n">
        <v>0.607638888888889</v>
      </c>
      <c r="F15" s="32" t="s">
        <v>10</v>
      </c>
      <c r="G15" s="32"/>
      <c r="H15" s="33" t="n">
        <v>0.607638888888889</v>
      </c>
      <c r="I15" s="34" t="s">
        <v>10</v>
      </c>
      <c r="J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9" t="n">
        <v>0.71875</v>
      </c>
      <c r="F16" s="32"/>
      <c r="G16" s="32"/>
      <c r="H16" s="40" t="n">
        <v>0.71875</v>
      </c>
      <c r="I16" s="34"/>
      <c r="J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7" t="n">
        <f aca="false">E16-E15</f>
        <v>0.111111111111111</v>
      </c>
      <c r="F17" s="48"/>
      <c r="G17" s="49"/>
      <c r="H17" s="54" t="n">
        <f aca="false">H16-H15</f>
        <v>0.111111111111111</v>
      </c>
      <c r="I17" s="55"/>
      <c r="J17" s="56"/>
    </row>
    <row r="18" customFormat="false" ht="15" hidden="false" customHeight="true" outlineLevel="0" collapsed="false">
      <c r="A18" s="26" t="n">
        <v>44650</v>
      </c>
      <c r="B18" s="27" t="n">
        <v>0.493055555555556</v>
      </c>
      <c r="C18" s="28" t="s">
        <v>56</v>
      </c>
      <c r="D18" s="28"/>
      <c r="E18" s="31"/>
      <c r="F18" s="32" t="s">
        <v>10</v>
      </c>
      <c r="G18" s="32"/>
      <c r="H18" s="57" t="n">
        <v>0.493055555555556</v>
      </c>
      <c r="I18" s="34" t="s">
        <v>10</v>
      </c>
      <c r="J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9"/>
      <c r="F19" s="32"/>
      <c r="G19" s="32"/>
      <c r="H19" s="40" t="n">
        <v>0.527777777777778</v>
      </c>
      <c r="I19" s="34"/>
      <c r="J19" s="34"/>
    </row>
    <row r="20" customFormat="false" ht="14.25" hidden="false" customHeight="false" outlineLevel="0" collapsed="false">
      <c r="A20" s="26"/>
      <c r="B20" s="41" t="n">
        <f aca="false">(B19-B18)</f>
        <v>0.034722222222222</v>
      </c>
      <c r="C20" s="42"/>
      <c r="D20" s="43"/>
      <c r="E20" s="47" t="n">
        <f aca="false">E19-E18</f>
        <v>0</v>
      </c>
      <c r="F20" s="48"/>
      <c r="G20" s="49"/>
      <c r="H20" s="54" t="n">
        <f aca="false">H19-H18</f>
        <v>0.034722222222222</v>
      </c>
      <c r="I20" s="55"/>
      <c r="J20" s="56"/>
    </row>
    <row r="21" customFormat="false" ht="15" hidden="false" customHeight="true" outlineLevel="0" collapsed="false">
      <c r="A21" s="26" t="n">
        <v>44652</v>
      </c>
      <c r="B21" s="27"/>
      <c r="C21" s="28" t="s">
        <v>10</v>
      </c>
      <c r="D21" s="28"/>
      <c r="E21" s="31"/>
      <c r="F21" s="32" t="s">
        <v>10</v>
      </c>
      <c r="G21" s="32"/>
      <c r="H21" s="33" t="n">
        <v>0.791666666666667</v>
      </c>
      <c r="I21" s="34" t="s">
        <v>10</v>
      </c>
      <c r="J21" s="34"/>
    </row>
    <row r="22" customFormat="false" ht="14.25" hidden="false" customHeight="false" outlineLevel="0" collapsed="false">
      <c r="A22" s="26"/>
      <c r="B22" s="37"/>
      <c r="C22" s="28"/>
      <c r="D22" s="28"/>
      <c r="E22" s="39"/>
      <c r="F22" s="32"/>
      <c r="G22" s="32"/>
      <c r="H22" s="58" t="n">
        <v>0.916666666666667</v>
      </c>
      <c r="I22" s="34"/>
      <c r="J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7" t="n">
        <f aca="false">E22-E21</f>
        <v>0</v>
      </c>
      <c r="F23" s="48"/>
      <c r="G23" s="49"/>
      <c r="H23" s="61" t="n">
        <f aca="false">H22-H21</f>
        <v>0.125</v>
      </c>
      <c r="I23" s="61"/>
      <c r="J23" s="62"/>
    </row>
    <row r="24" customFormat="false" ht="15" hidden="false" customHeight="true" outlineLevel="0" collapsed="false">
      <c r="A24" s="26" t="n">
        <v>44653</v>
      </c>
      <c r="B24" s="27"/>
      <c r="C24" s="28" t="s">
        <v>10</v>
      </c>
      <c r="D24" s="28"/>
      <c r="E24" s="31"/>
      <c r="F24" s="32" t="s">
        <v>10</v>
      </c>
      <c r="G24" s="32"/>
      <c r="H24" s="33" t="n">
        <v>0.333333333333333</v>
      </c>
      <c r="I24" s="34" t="s">
        <v>10</v>
      </c>
      <c r="J24" s="34"/>
    </row>
    <row r="25" customFormat="false" ht="14.25" hidden="false" customHeight="false" outlineLevel="0" collapsed="false">
      <c r="A25" s="26"/>
      <c r="B25" s="37"/>
      <c r="C25" s="28"/>
      <c r="D25" s="28"/>
      <c r="E25" s="39"/>
      <c r="F25" s="32"/>
      <c r="G25" s="32"/>
      <c r="H25" s="40" t="n">
        <v>0.479166666666667</v>
      </c>
      <c r="I25" s="34"/>
      <c r="J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7" t="n">
        <f aca="false">E25-E24</f>
        <v>0</v>
      </c>
      <c r="F26" s="48"/>
      <c r="G26" s="49"/>
      <c r="H26" s="54" t="n">
        <f aca="false">H25-H24</f>
        <v>0.145833333333334</v>
      </c>
      <c r="I26" s="55"/>
      <c r="J26" s="56"/>
    </row>
    <row r="27" customFormat="false" ht="15" hidden="false" customHeight="true" outlineLevel="0" collapsed="false">
      <c r="A27" s="26" t="n">
        <v>44654</v>
      </c>
      <c r="B27" s="27" t="n">
        <v>0.729166666666667</v>
      </c>
      <c r="C27" s="28" t="s">
        <v>10</v>
      </c>
      <c r="D27" s="28"/>
      <c r="E27" s="31" t="n">
        <v>0.729166666666667</v>
      </c>
      <c r="F27" s="32" t="s">
        <v>10</v>
      </c>
      <c r="G27" s="32"/>
      <c r="H27" s="57" t="n">
        <v>0.5</v>
      </c>
      <c r="I27" s="34" t="s">
        <v>10</v>
      </c>
      <c r="J27" s="34"/>
    </row>
    <row r="28" customFormat="false" ht="14.25" hidden="false" customHeight="false" outlineLevel="0" collapsed="false">
      <c r="A28" s="26"/>
      <c r="B28" s="37" t="n">
        <v>0.854166666666667</v>
      </c>
      <c r="C28" s="28"/>
      <c r="D28" s="28"/>
      <c r="E28" s="39" t="n">
        <v>0.916666666666667</v>
      </c>
      <c r="F28" s="32"/>
      <c r="G28" s="32"/>
      <c r="H28" s="40" t="n">
        <v>0.666666666666667</v>
      </c>
      <c r="I28" s="34"/>
      <c r="J28" s="34"/>
    </row>
    <row r="29" customFormat="false" ht="14.25" hidden="false" customHeight="false" outlineLevel="0" collapsed="false">
      <c r="A29" s="26"/>
      <c r="B29" s="41" t="n">
        <f aca="false">(B28-B27)</f>
        <v>0.125</v>
      </c>
      <c r="C29" s="42"/>
      <c r="D29" s="43"/>
      <c r="E29" s="47" t="n">
        <f aca="false">E28-E27</f>
        <v>0.1875</v>
      </c>
      <c r="F29" s="48"/>
      <c r="G29" s="49"/>
      <c r="H29" s="54" t="n">
        <f aca="false">H28-H27</f>
        <v>0.166666666666667</v>
      </c>
      <c r="I29" s="55"/>
      <c r="J29" s="56"/>
    </row>
    <row r="30" customFormat="false" ht="15" hidden="false" customHeight="true" outlineLevel="0" collapsed="false">
      <c r="A30" s="26" t="n">
        <v>44663</v>
      </c>
      <c r="B30" s="27" t="n">
        <v>0.791666666666667</v>
      </c>
      <c r="C30" s="28" t="s">
        <v>57</v>
      </c>
      <c r="D30" s="28"/>
      <c r="E30" s="31"/>
      <c r="F30" s="32" t="s">
        <v>10</v>
      </c>
      <c r="G30" s="32"/>
      <c r="H30" s="33"/>
      <c r="I30" s="34" t="s">
        <v>10</v>
      </c>
      <c r="J30" s="34"/>
    </row>
    <row r="31" customFormat="false" ht="14.25" hidden="false" customHeight="false" outlineLevel="0" collapsed="false">
      <c r="A31" s="26"/>
      <c r="B31" s="37" t="n">
        <v>0.9375</v>
      </c>
      <c r="C31" s="28"/>
      <c r="D31" s="28"/>
      <c r="E31" s="39"/>
      <c r="F31" s="32"/>
      <c r="G31" s="32"/>
      <c r="H31" s="58"/>
      <c r="I31" s="34"/>
      <c r="J31" s="34"/>
    </row>
    <row r="32" customFormat="false" ht="14.25" hidden="false" customHeight="false" outlineLevel="0" collapsed="false">
      <c r="A32" s="26"/>
      <c r="B32" s="41" t="n">
        <f aca="false">(B31-B30)</f>
        <v>0.145833333333333</v>
      </c>
      <c r="C32" s="42"/>
      <c r="D32" s="43"/>
      <c r="E32" s="47" t="n">
        <f aca="false">E31-E30</f>
        <v>0</v>
      </c>
      <c r="F32" s="48"/>
      <c r="G32" s="49"/>
      <c r="H32" s="61" t="n">
        <f aca="false">H31-H30</f>
        <v>0</v>
      </c>
      <c r="I32" s="61"/>
      <c r="J32" s="62"/>
    </row>
    <row r="33" customFormat="false" ht="15" hidden="false" customHeight="true" outlineLevel="0" collapsed="false">
      <c r="A33" s="26" t="n">
        <v>44664</v>
      </c>
      <c r="B33" s="27" t="n">
        <v>0.40625</v>
      </c>
      <c r="C33" s="28" t="s">
        <v>57</v>
      </c>
      <c r="D33" s="28"/>
      <c r="E33" s="31"/>
      <c r="F33" s="32" t="s">
        <v>10</v>
      </c>
      <c r="G33" s="32"/>
      <c r="H33" s="33" t="n">
        <v>0.416666666666667</v>
      </c>
      <c r="I33" s="34" t="s">
        <v>58</v>
      </c>
      <c r="J33" s="34"/>
    </row>
    <row r="34" customFormat="false" ht="14.25" hidden="false" customHeight="false" outlineLevel="0" collapsed="false">
      <c r="A34" s="26"/>
      <c r="B34" s="37" t="n">
        <v>0.46875</v>
      </c>
      <c r="C34" s="28"/>
      <c r="D34" s="28"/>
      <c r="E34" s="39"/>
      <c r="F34" s="32"/>
      <c r="G34" s="32"/>
      <c r="H34" s="40" t="n">
        <v>0.625</v>
      </c>
      <c r="I34" s="34"/>
      <c r="J34" s="34"/>
    </row>
    <row r="35" customFormat="false" ht="14.25" hidden="false" customHeight="false" outlineLevel="0" collapsed="false">
      <c r="A35" s="26"/>
      <c r="B35" s="41" t="n">
        <f aca="false">(B34-B33)</f>
        <v>0.0625</v>
      </c>
      <c r="C35" s="42"/>
      <c r="D35" s="43"/>
      <c r="E35" s="47" t="n">
        <f aca="false">E34-E33</f>
        <v>0</v>
      </c>
      <c r="F35" s="48"/>
      <c r="G35" s="49"/>
      <c r="H35" s="54" t="n">
        <f aca="false">H34-H33</f>
        <v>0.208333333333333</v>
      </c>
      <c r="I35" s="55"/>
      <c r="J35" s="56"/>
    </row>
    <row r="36" customFormat="false" ht="15" hidden="false" customHeight="true" outlineLevel="0" collapsed="false">
      <c r="A36" s="26" t="n">
        <v>44665</v>
      </c>
      <c r="B36" s="27"/>
      <c r="C36" s="28" t="s">
        <v>10</v>
      </c>
      <c r="D36" s="28"/>
      <c r="E36" s="31"/>
      <c r="F36" s="32" t="s">
        <v>10</v>
      </c>
      <c r="G36" s="32"/>
      <c r="H36" s="57" t="n">
        <v>0.666666666666667</v>
      </c>
      <c r="I36" s="34" t="s">
        <v>59</v>
      </c>
      <c r="J36" s="34"/>
    </row>
    <row r="37" customFormat="false" ht="14.25" hidden="false" customHeight="false" outlineLevel="0" collapsed="false">
      <c r="A37" s="26"/>
      <c r="B37" s="37"/>
      <c r="C37" s="28"/>
      <c r="D37" s="28"/>
      <c r="E37" s="39"/>
      <c r="F37" s="32"/>
      <c r="G37" s="32"/>
      <c r="H37" s="40" t="n">
        <v>0.916666666666667</v>
      </c>
      <c r="I37" s="34"/>
      <c r="J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7" t="n">
        <f aca="false">E37-E36</f>
        <v>0</v>
      </c>
      <c r="F38" s="48"/>
      <c r="G38" s="49"/>
      <c r="H38" s="54" t="n">
        <f aca="false">H37-H36</f>
        <v>0.25</v>
      </c>
      <c r="I38" s="55"/>
      <c r="J38" s="56"/>
    </row>
    <row r="39" customFormat="false" ht="15" hidden="false" customHeight="true" outlineLevel="0" collapsed="false">
      <c r="A39" s="26" t="n">
        <v>44666</v>
      </c>
      <c r="B39" s="27"/>
      <c r="C39" s="28" t="s">
        <v>10</v>
      </c>
      <c r="D39" s="28"/>
      <c r="E39" s="31"/>
      <c r="F39" s="32" t="s">
        <v>10</v>
      </c>
      <c r="G39" s="32"/>
      <c r="H39" s="33" t="n">
        <v>0.333333333333333</v>
      </c>
      <c r="I39" s="34" t="s">
        <v>10</v>
      </c>
      <c r="J39" s="34"/>
    </row>
    <row r="40" customFormat="false" ht="14.25" hidden="false" customHeight="false" outlineLevel="0" collapsed="false">
      <c r="A40" s="26"/>
      <c r="B40" s="37"/>
      <c r="C40" s="28"/>
      <c r="D40" s="28"/>
      <c r="E40" s="39"/>
      <c r="F40" s="32"/>
      <c r="G40" s="32"/>
      <c r="H40" s="58" t="n">
        <v>0.583333333333333</v>
      </c>
      <c r="I40" s="34"/>
      <c r="J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7" t="n">
        <f aca="false">E40-E39</f>
        <v>0</v>
      </c>
      <c r="F41" s="48"/>
      <c r="G41" s="49"/>
      <c r="H41" s="61" t="n">
        <f aca="false">H40-H39</f>
        <v>0.25</v>
      </c>
      <c r="I41" s="61"/>
      <c r="J41" s="62"/>
    </row>
    <row r="42" customFormat="false" ht="15" hidden="false" customHeight="true" outlineLevel="0" collapsed="false">
      <c r="A42" s="26" t="n">
        <v>44669</v>
      </c>
      <c r="B42" s="27" t="n">
        <v>0.458333333333333</v>
      </c>
      <c r="C42" s="28" t="s">
        <v>60</v>
      </c>
      <c r="D42" s="28"/>
      <c r="E42" s="31"/>
      <c r="F42" s="32" t="s">
        <v>10</v>
      </c>
      <c r="G42" s="32"/>
      <c r="H42" s="33"/>
      <c r="I42" s="34" t="s">
        <v>10</v>
      </c>
      <c r="J42" s="34"/>
    </row>
    <row r="43" customFormat="false" ht="14.25" hidden="false" customHeight="false" outlineLevel="0" collapsed="false">
      <c r="A43" s="26"/>
      <c r="B43" s="37" t="n">
        <v>0.479166666666667</v>
      </c>
      <c r="C43" s="28"/>
      <c r="D43" s="28"/>
      <c r="E43" s="39"/>
      <c r="F43" s="32"/>
      <c r="G43" s="32"/>
      <c r="H43" s="40"/>
      <c r="I43" s="34"/>
      <c r="J43" s="34"/>
    </row>
    <row r="44" customFormat="false" ht="14.25" hidden="false" customHeight="false" outlineLevel="0" collapsed="false">
      <c r="A44" s="26"/>
      <c r="B44" s="41" t="n">
        <f aca="false">(B43-B42)</f>
        <v>0.020833333333334</v>
      </c>
      <c r="C44" s="42"/>
      <c r="D44" s="43"/>
      <c r="E44" s="47" t="n">
        <f aca="false">E43-E42</f>
        <v>0</v>
      </c>
      <c r="F44" s="48"/>
      <c r="G44" s="49"/>
      <c r="H44" s="54" t="n">
        <f aca="false">H43-H42</f>
        <v>0</v>
      </c>
      <c r="I44" s="55"/>
      <c r="J44" s="56"/>
    </row>
    <row r="45" customFormat="false" ht="15" hidden="false" customHeight="true" outlineLevel="0" collapsed="false">
      <c r="A45" s="26"/>
      <c r="B45" s="27"/>
      <c r="C45" s="28" t="s">
        <v>10</v>
      </c>
      <c r="D45" s="28"/>
      <c r="E45" s="31"/>
      <c r="F45" s="32" t="s">
        <v>10</v>
      </c>
      <c r="G45" s="32"/>
      <c r="H45" s="57"/>
      <c r="I45" s="34" t="s">
        <v>10</v>
      </c>
      <c r="J45" s="34"/>
    </row>
    <row r="46" customFormat="false" ht="14.25" hidden="false" customHeight="false" outlineLevel="0" collapsed="false">
      <c r="A46" s="26"/>
      <c r="B46" s="37"/>
      <c r="C46" s="28"/>
      <c r="D46" s="28"/>
      <c r="E46" s="39"/>
      <c r="F46" s="32"/>
      <c r="G46" s="32"/>
      <c r="H46" s="40"/>
      <c r="I46" s="34"/>
      <c r="J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7" t="n">
        <f aca="false">E46-E45</f>
        <v>0</v>
      </c>
      <c r="F47" s="48"/>
      <c r="G47" s="49"/>
      <c r="H47" s="54" t="n">
        <f aca="false">H46-H45</f>
        <v>0</v>
      </c>
      <c r="I47" s="55"/>
      <c r="J47" s="56"/>
    </row>
    <row r="48" customFormat="false" ht="15" hidden="false" customHeight="true" outlineLevel="0" collapsed="false">
      <c r="A48" s="26"/>
      <c r="B48" s="27"/>
      <c r="C48" s="28" t="s">
        <v>10</v>
      </c>
      <c r="D48" s="28"/>
      <c r="E48" s="31"/>
      <c r="F48" s="32" t="s">
        <v>10</v>
      </c>
      <c r="G48" s="32"/>
      <c r="H48" s="33"/>
      <c r="I48" s="34" t="s">
        <v>10</v>
      </c>
      <c r="J48" s="34"/>
    </row>
    <row r="49" customFormat="false" ht="14.25" hidden="false" customHeight="false" outlineLevel="0" collapsed="false">
      <c r="A49" s="26"/>
      <c r="B49" s="37"/>
      <c r="C49" s="28"/>
      <c r="D49" s="28"/>
      <c r="E49" s="39"/>
      <c r="F49" s="32"/>
      <c r="G49" s="32"/>
      <c r="H49" s="58"/>
      <c r="I49" s="34"/>
      <c r="J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7" t="n">
        <f aca="false">E49-E48</f>
        <v>0</v>
      </c>
      <c r="F50" s="48"/>
      <c r="G50" s="49"/>
      <c r="H50" s="61" t="n">
        <f aca="false">H49-H48</f>
        <v>0</v>
      </c>
      <c r="I50" s="61"/>
      <c r="J50" s="62"/>
    </row>
    <row r="51" customFormat="false" ht="15" hidden="false" customHeight="true" outlineLevel="0" collapsed="false">
      <c r="A51" s="26"/>
      <c r="B51" s="27"/>
      <c r="C51" s="28" t="s">
        <v>10</v>
      </c>
      <c r="D51" s="28"/>
      <c r="E51" s="31"/>
      <c r="F51" s="32" t="s">
        <v>10</v>
      </c>
      <c r="G51" s="32"/>
      <c r="H51" s="33"/>
      <c r="I51" s="34" t="s">
        <v>10</v>
      </c>
      <c r="J51" s="34"/>
    </row>
    <row r="52" customFormat="false" ht="14.25" hidden="false" customHeight="false" outlineLevel="0" collapsed="false">
      <c r="A52" s="26"/>
      <c r="B52" s="37"/>
      <c r="C52" s="28"/>
      <c r="D52" s="28"/>
      <c r="E52" s="39"/>
      <c r="F52" s="32"/>
      <c r="G52" s="32"/>
      <c r="H52" s="40"/>
      <c r="I52" s="34"/>
      <c r="J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7" t="n">
        <f aca="false">E52-E51</f>
        <v>0</v>
      </c>
      <c r="F53" s="48"/>
      <c r="G53" s="49"/>
      <c r="H53" s="54" t="n">
        <f aca="false">H52-H51</f>
        <v>0</v>
      </c>
      <c r="I53" s="55"/>
      <c r="J53" s="56"/>
    </row>
    <row r="54" customFormat="false" ht="15" hidden="false" customHeight="true" outlineLevel="0" collapsed="false">
      <c r="A54" s="26"/>
      <c r="B54" s="27"/>
      <c r="C54" s="28" t="s">
        <v>10</v>
      </c>
      <c r="D54" s="28"/>
      <c r="E54" s="31"/>
      <c r="F54" s="32" t="s">
        <v>10</v>
      </c>
      <c r="G54" s="32"/>
      <c r="H54" s="57"/>
      <c r="I54" s="34" t="s">
        <v>10</v>
      </c>
      <c r="J54" s="34"/>
    </row>
    <row r="55" customFormat="false" ht="14.25" hidden="false" customHeight="false" outlineLevel="0" collapsed="false">
      <c r="A55" s="26"/>
      <c r="B55" s="37"/>
      <c r="C55" s="28"/>
      <c r="D55" s="28"/>
      <c r="E55" s="39"/>
      <c r="F55" s="32"/>
      <c r="G55" s="32"/>
      <c r="H55" s="40"/>
      <c r="I55" s="34"/>
      <c r="J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7" t="n">
        <f aca="false">E55-E54</f>
        <v>0</v>
      </c>
      <c r="F56" s="48"/>
      <c r="G56" s="49"/>
      <c r="H56" s="54" t="n">
        <f aca="false">H55-H54</f>
        <v>0</v>
      </c>
      <c r="I56" s="55"/>
      <c r="J56" s="56"/>
    </row>
    <row r="57" customFormat="false" ht="15" hidden="false" customHeight="true" outlineLevel="0" collapsed="false">
      <c r="A57" s="26"/>
      <c r="B57" s="27"/>
      <c r="C57" s="28" t="s">
        <v>10</v>
      </c>
      <c r="D57" s="28"/>
      <c r="E57" s="31"/>
      <c r="F57" s="32" t="s">
        <v>10</v>
      </c>
      <c r="G57" s="32"/>
      <c r="H57" s="33"/>
      <c r="I57" s="34" t="s">
        <v>10</v>
      </c>
      <c r="J57" s="34"/>
    </row>
    <row r="58" customFormat="false" ht="14.25" hidden="false" customHeight="false" outlineLevel="0" collapsed="false">
      <c r="A58" s="26"/>
      <c r="B58" s="37"/>
      <c r="C58" s="28"/>
      <c r="D58" s="28"/>
      <c r="E58" s="39"/>
      <c r="F58" s="32"/>
      <c r="G58" s="32"/>
      <c r="H58" s="58"/>
      <c r="I58" s="34"/>
      <c r="J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7" t="n">
        <f aca="false">E58-E57</f>
        <v>0</v>
      </c>
      <c r="F59" s="48"/>
      <c r="G59" s="49"/>
      <c r="H59" s="61" t="n">
        <f aca="false">H58-H57</f>
        <v>0</v>
      </c>
      <c r="I59" s="61"/>
      <c r="J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31"/>
      <c r="F60" s="32" t="s">
        <v>10</v>
      </c>
      <c r="G60" s="32"/>
      <c r="H60" s="33"/>
      <c r="I60" s="34" t="s">
        <v>10</v>
      </c>
      <c r="J60" s="34"/>
    </row>
    <row r="61" customFormat="false" ht="14.25" hidden="false" customHeight="false" outlineLevel="0" collapsed="false">
      <c r="A61" s="26"/>
      <c r="B61" s="37"/>
      <c r="C61" s="28"/>
      <c r="D61" s="28"/>
      <c r="E61" s="39"/>
      <c r="F61" s="32"/>
      <c r="G61" s="32"/>
      <c r="H61" s="40"/>
      <c r="I61" s="34"/>
      <c r="J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7" t="n">
        <f aca="false">E61-E60</f>
        <v>0</v>
      </c>
      <c r="F62" s="48"/>
      <c r="G62" s="49"/>
      <c r="H62" s="54" t="n">
        <f aca="false">H61-H60</f>
        <v>0</v>
      </c>
      <c r="I62" s="55"/>
      <c r="J62" s="56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31"/>
      <c r="F63" s="32" t="s">
        <v>10</v>
      </c>
      <c r="G63" s="32"/>
      <c r="H63" s="57"/>
      <c r="I63" s="34" t="s">
        <v>10</v>
      </c>
      <c r="J63" s="34"/>
    </row>
    <row r="64" customFormat="false" ht="14.25" hidden="false" customHeight="false" outlineLevel="0" collapsed="false">
      <c r="A64" s="26"/>
      <c r="B64" s="37"/>
      <c r="C64" s="28"/>
      <c r="D64" s="28"/>
      <c r="E64" s="39"/>
      <c r="F64" s="32"/>
      <c r="G64" s="32"/>
      <c r="H64" s="40"/>
      <c r="I64" s="34"/>
      <c r="J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7" t="n">
        <f aca="false">E64-E63</f>
        <v>0</v>
      </c>
      <c r="F65" s="48"/>
      <c r="G65" s="49"/>
      <c r="H65" s="54" t="n">
        <f aca="false">H64-H63</f>
        <v>0</v>
      </c>
      <c r="I65" s="55"/>
      <c r="J65" s="56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31"/>
      <c r="F66" s="32" t="s">
        <v>10</v>
      </c>
      <c r="G66" s="32"/>
      <c r="H66" s="33"/>
      <c r="I66" s="34" t="s">
        <v>10</v>
      </c>
      <c r="J66" s="34"/>
    </row>
    <row r="67" customFormat="false" ht="14.25" hidden="false" customHeight="false" outlineLevel="0" collapsed="false">
      <c r="A67" s="26"/>
      <c r="B67" s="37"/>
      <c r="C67" s="28"/>
      <c r="D67" s="28"/>
      <c r="E67" s="39"/>
      <c r="F67" s="32"/>
      <c r="G67" s="32"/>
      <c r="H67" s="58"/>
      <c r="I67" s="34"/>
      <c r="J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7" t="n">
        <f aca="false">E67-E66</f>
        <v>0</v>
      </c>
      <c r="F68" s="48"/>
      <c r="G68" s="49"/>
      <c r="H68" s="61" t="n">
        <f aca="false">H67-H66</f>
        <v>0</v>
      </c>
      <c r="I68" s="61"/>
      <c r="J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31"/>
      <c r="F69" s="32" t="s">
        <v>10</v>
      </c>
      <c r="G69" s="32"/>
      <c r="H69" s="33"/>
      <c r="I69" s="34" t="s">
        <v>10</v>
      </c>
      <c r="J69" s="34"/>
    </row>
    <row r="70" customFormat="false" ht="14.25" hidden="false" customHeight="false" outlineLevel="0" collapsed="false">
      <c r="A70" s="26"/>
      <c r="B70" s="37"/>
      <c r="C70" s="28"/>
      <c r="D70" s="28"/>
      <c r="E70" s="39"/>
      <c r="F70" s="32"/>
      <c r="G70" s="32"/>
      <c r="H70" s="40"/>
      <c r="I70" s="34"/>
      <c r="J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7" t="n">
        <f aca="false">E70-E69</f>
        <v>0</v>
      </c>
      <c r="F71" s="48"/>
      <c r="G71" s="49"/>
      <c r="H71" s="54" t="n">
        <f aca="false">H70-H69</f>
        <v>0</v>
      </c>
      <c r="I71" s="55"/>
      <c r="J71" s="56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31"/>
      <c r="F72" s="32" t="s">
        <v>10</v>
      </c>
      <c r="G72" s="32"/>
      <c r="H72" s="57"/>
      <c r="I72" s="34" t="s">
        <v>10</v>
      </c>
      <c r="J72" s="34"/>
    </row>
    <row r="73" customFormat="false" ht="14.25" hidden="false" customHeight="false" outlineLevel="0" collapsed="false">
      <c r="A73" s="26"/>
      <c r="B73" s="37"/>
      <c r="C73" s="28"/>
      <c r="D73" s="28"/>
      <c r="E73" s="39"/>
      <c r="F73" s="32"/>
      <c r="G73" s="32"/>
      <c r="H73" s="40"/>
      <c r="I73" s="34"/>
      <c r="J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7" t="n">
        <f aca="false">E73-E72</f>
        <v>0</v>
      </c>
      <c r="F74" s="48"/>
      <c r="G74" s="49"/>
      <c r="H74" s="54" t="n">
        <f aca="false">H73-H72</f>
        <v>0</v>
      </c>
      <c r="I74" s="55"/>
      <c r="J74" s="56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31"/>
      <c r="F75" s="32" t="s">
        <v>10</v>
      </c>
      <c r="G75" s="32"/>
      <c r="H75" s="33"/>
      <c r="I75" s="34" t="s">
        <v>10</v>
      </c>
      <c r="J75" s="34"/>
    </row>
    <row r="76" customFormat="false" ht="14.25" hidden="false" customHeight="false" outlineLevel="0" collapsed="false">
      <c r="A76" s="26"/>
      <c r="B76" s="37"/>
      <c r="C76" s="28"/>
      <c r="D76" s="28"/>
      <c r="E76" s="39"/>
      <c r="F76" s="32"/>
      <c r="G76" s="32"/>
      <c r="H76" s="58"/>
      <c r="I76" s="34"/>
      <c r="J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7" t="n">
        <f aca="false">E76-E75</f>
        <v>0</v>
      </c>
      <c r="F77" s="48"/>
      <c r="G77" s="49"/>
      <c r="H77" s="61" t="n">
        <f aca="false">H76-H75</f>
        <v>0</v>
      </c>
      <c r="I77" s="61"/>
      <c r="J77" s="62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72:A74"/>
    <mergeCell ref="C72:D73"/>
    <mergeCell ref="F72:G73"/>
    <mergeCell ref="I72:J73"/>
    <mergeCell ref="A75:A77"/>
    <mergeCell ref="C75:D76"/>
    <mergeCell ref="F75:G76"/>
    <mergeCell ref="I75:J7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F3" activeCellId="0" sqref="F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1.45833333333333</v>
      </c>
      <c r="D2" s="14" t="n">
        <f aca="false">C2+Sprint_6!D2</f>
        <v>5.74930555555556</v>
      </c>
      <c r="E2" s="15" t="s">
        <v>6</v>
      </c>
      <c r="F2" s="16" t="n">
        <f aca="false" t="array" ref="F2:F2">SUM(E5:E161*(MOD(ROW(E5:E161)-2,3)=0))</f>
        <v>0.125</v>
      </c>
      <c r="G2" s="17" t="n">
        <f aca="false">F2</f>
        <v>0.125</v>
      </c>
      <c r="H2" s="18" t="s">
        <v>7</v>
      </c>
      <c r="I2" s="19" t="n">
        <f aca="false" t="array" ref="I2:I2">SUM(H5:H161*(MOD(ROW(H5:H161)-2,3)=0))</f>
        <v>1.44444444444444</v>
      </c>
      <c r="J2" s="20" t="n">
        <f aca="false">I2+Sprint_6!G2</f>
        <v>5.14444444444445</v>
      </c>
      <c r="K2" s="21" t="s">
        <v>8</v>
      </c>
      <c r="L2" s="22" t="n">
        <f aca="false" t="array" ref="L2:L2">SUM(K5:K161*(MOD(ROW(K5:K161)-2,3)=0))</f>
        <v>1.60416666666667</v>
      </c>
      <c r="M2" s="23" t="n">
        <f aca="false">L2+Sprint_6!J2</f>
        <v>6.3826388888889</v>
      </c>
      <c r="N2" s="24" t="s">
        <v>2</v>
      </c>
      <c r="O2" s="25" t="n">
        <f aca="false">C2+F2+I2+L2</f>
        <v>4.63194444444445</v>
      </c>
    </row>
    <row r="3" customFormat="false" ht="15" hidden="false" customHeight="true" outlineLevel="0" collapsed="false">
      <c r="A3" s="26" t="n">
        <v>44641</v>
      </c>
      <c r="B3" s="27" t="n">
        <v>0.333333333333333</v>
      </c>
      <c r="C3" s="28" t="s">
        <v>37</v>
      </c>
      <c r="D3" s="28"/>
      <c r="E3" s="29"/>
      <c r="F3" s="30" t="s">
        <v>10</v>
      </c>
      <c r="G3" s="30"/>
      <c r="H3" s="31" t="n">
        <v>0.333333333333333</v>
      </c>
      <c r="I3" s="32" t="s">
        <v>37</v>
      </c>
      <c r="J3" s="32"/>
      <c r="K3" s="33" t="n">
        <v>0.333333333333333</v>
      </c>
      <c r="L3" s="34" t="s">
        <v>37</v>
      </c>
      <c r="M3" s="34"/>
      <c r="N3" s="35" t="s">
        <v>3</v>
      </c>
      <c r="O3" s="36" t="n">
        <f aca="false">D2+G2+J2+M2</f>
        <v>17.4013888888889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/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44641</v>
      </c>
      <c r="B6" s="27" t="n">
        <v>0.607638888888889</v>
      </c>
      <c r="C6" s="28" t="s">
        <v>52</v>
      </c>
      <c r="D6" s="28"/>
      <c r="E6" s="29"/>
      <c r="F6" s="30" t="s">
        <v>10</v>
      </c>
      <c r="G6" s="30"/>
      <c r="H6" s="31" t="n">
        <v>0.607638888888889</v>
      </c>
      <c r="I6" s="32" t="s">
        <v>10</v>
      </c>
      <c r="J6" s="32"/>
      <c r="K6" s="53" t="n">
        <v>0.607638888888889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/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0.111111111111111</v>
      </c>
      <c r="I8" s="48"/>
      <c r="J8" s="49"/>
      <c r="K8" s="54" t="n">
        <f aca="false">K7-K6</f>
        <v>0.111111111111111</v>
      </c>
      <c r="L8" s="55"/>
      <c r="M8" s="56"/>
    </row>
    <row r="9" customFormat="false" ht="15" hidden="false" customHeight="true" outlineLevel="0" collapsed="false">
      <c r="A9" s="26" t="n">
        <v>44643</v>
      </c>
      <c r="B9" s="27" t="n">
        <v>0.493055555555556</v>
      </c>
      <c r="C9" s="28" t="s">
        <v>54</v>
      </c>
      <c r="D9" s="28"/>
      <c r="E9" s="29"/>
      <c r="F9" s="30" t="s">
        <v>27</v>
      </c>
      <c r="G9" s="30"/>
      <c r="H9" s="31" t="n">
        <v>0.493055555555556</v>
      </c>
      <c r="I9" s="32" t="s">
        <v>10</v>
      </c>
      <c r="J9" s="32"/>
      <c r="K9" s="57" t="n">
        <v>0.493055555555556</v>
      </c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/>
      <c r="F10" s="30"/>
      <c r="G10" s="30"/>
      <c r="H10" s="39" t="n">
        <v>0.527777777777778</v>
      </c>
      <c r="I10" s="32"/>
      <c r="J10" s="32"/>
      <c r="K10" s="40" t="n">
        <v>0.527777777777778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0.034722222222222</v>
      </c>
      <c r="I11" s="48"/>
      <c r="J11" s="49"/>
      <c r="K11" s="54" t="n">
        <f aca="false">K10-K9</f>
        <v>0.034722222222222</v>
      </c>
      <c r="L11" s="55"/>
      <c r="M11" s="56"/>
    </row>
    <row r="12" customFormat="false" ht="15" hidden="false" customHeight="true" outlineLevel="0" collapsed="false">
      <c r="A12" s="26" t="n">
        <v>44648</v>
      </c>
      <c r="B12" s="27" t="n">
        <v>0.333333333333333</v>
      </c>
      <c r="C12" s="28" t="s">
        <v>55</v>
      </c>
      <c r="D12" s="28"/>
      <c r="E12" s="29"/>
      <c r="F12" s="30" t="s">
        <v>10</v>
      </c>
      <c r="G12" s="30"/>
      <c r="H12" s="31" t="n">
        <v>0.333333333333333</v>
      </c>
      <c r="I12" s="32" t="s">
        <v>10</v>
      </c>
      <c r="J12" s="32"/>
      <c r="K12" s="57" t="n">
        <v>0.333333333333333</v>
      </c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8"/>
      <c r="F13" s="30"/>
      <c r="G13" s="30"/>
      <c r="H13" s="39" t="n">
        <v>0.416666666666667</v>
      </c>
      <c r="I13" s="32"/>
      <c r="J13" s="32"/>
      <c r="K13" s="58" t="n">
        <v>0.416666666666667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0.083333333333334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0.083333333333334</v>
      </c>
      <c r="I14" s="48"/>
      <c r="J14" s="49"/>
      <c r="K14" s="59" t="n">
        <f aca="false">K13-K12</f>
        <v>0.083333333333334</v>
      </c>
      <c r="L14" s="59"/>
      <c r="M14" s="60"/>
    </row>
    <row r="15" customFormat="false" ht="15" hidden="false" customHeight="true" outlineLevel="0" collapsed="false">
      <c r="A15" s="26" t="n">
        <v>44648</v>
      </c>
      <c r="B15" s="27" t="n">
        <v>0.607638888888889</v>
      </c>
      <c r="C15" s="28" t="s">
        <v>56</v>
      </c>
      <c r="D15" s="28"/>
      <c r="E15" s="29"/>
      <c r="F15" s="30" t="s">
        <v>10</v>
      </c>
      <c r="G15" s="30"/>
      <c r="H15" s="31" t="n">
        <v>0.607638888888889</v>
      </c>
      <c r="I15" s="32" t="s">
        <v>10</v>
      </c>
      <c r="J15" s="32"/>
      <c r="K15" s="33" t="n">
        <v>0.607638888888889</v>
      </c>
      <c r="L15" s="34" t="s">
        <v>10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/>
      <c r="F16" s="30"/>
      <c r="G16" s="30"/>
      <c r="H16" s="39" t="n">
        <v>0.71875</v>
      </c>
      <c r="I16" s="32"/>
      <c r="J16" s="32"/>
      <c r="K16" s="40" t="n">
        <v>0.71875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0.111111111111111</v>
      </c>
      <c r="I17" s="48"/>
      <c r="J17" s="49"/>
      <c r="K17" s="54" t="n">
        <f aca="false">K16-K15</f>
        <v>0.111111111111111</v>
      </c>
      <c r="L17" s="55"/>
      <c r="M17" s="56"/>
    </row>
    <row r="18" customFormat="false" ht="15" hidden="false" customHeight="true" outlineLevel="0" collapsed="false">
      <c r="A18" s="26" t="n">
        <v>44650</v>
      </c>
      <c r="B18" s="27" t="n">
        <v>0.493055555555556</v>
      </c>
      <c r="C18" s="28" t="s">
        <v>56</v>
      </c>
      <c r="D18" s="28"/>
      <c r="E18" s="29"/>
      <c r="F18" s="30" t="s">
        <v>10</v>
      </c>
      <c r="G18" s="30"/>
      <c r="H18" s="31"/>
      <c r="I18" s="32" t="s">
        <v>10</v>
      </c>
      <c r="J18" s="32"/>
      <c r="K18" s="57" t="n">
        <v>0.493055555555556</v>
      </c>
      <c r="L18" s="34" t="s">
        <v>10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/>
      <c r="F19" s="30"/>
      <c r="G19" s="30"/>
      <c r="H19" s="39"/>
      <c r="I19" s="32"/>
      <c r="J19" s="32"/>
      <c r="K19" s="40" t="n">
        <v>0.527777777777778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0.034722222222222</v>
      </c>
      <c r="L20" s="55"/>
      <c r="M20" s="56"/>
    </row>
    <row r="21" customFormat="false" ht="15" hidden="false" customHeight="true" outlineLevel="0" collapsed="false">
      <c r="A21" s="26" t="n">
        <v>44652</v>
      </c>
      <c r="B21" s="27"/>
      <c r="C21" s="28" t="s">
        <v>10</v>
      </c>
      <c r="D21" s="28"/>
      <c r="E21" s="29"/>
      <c r="F21" s="30" t="s">
        <v>10</v>
      </c>
      <c r="G21" s="30"/>
      <c r="H21" s="31"/>
      <c r="I21" s="32" t="s">
        <v>10</v>
      </c>
      <c r="J21" s="32"/>
      <c r="K21" s="33" t="n">
        <v>0.791666666666667</v>
      </c>
      <c r="L21" s="34" t="s">
        <v>10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 t="n">
        <v>0.916666666666667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0.125</v>
      </c>
      <c r="L23" s="61"/>
      <c r="M23" s="62"/>
    </row>
    <row r="24" customFormat="false" ht="15" hidden="false" customHeight="true" outlineLevel="0" collapsed="false">
      <c r="A24" s="26" t="n">
        <v>44653</v>
      </c>
      <c r="B24" s="27"/>
      <c r="C24" s="28" t="s">
        <v>10</v>
      </c>
      <c r="D24" s="28"/>
      <c r="E24" s="29"/>
      <c r="F24" s="30" t="s">
        <v>10</v>
      </c>
      <c r="G24" s="30"/>
      <c r="H24" s="31"/>
      <c r="I24" s="32" t="s">
        <v>10</v>
      </c>
      <c r="J24" s="32"/>
      <c r="K24" s="33" t="n">
        <v>0.333333333333333</v>
      </c>
      <c r="L24" s="34" t="s">
        <v>10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 t="n">
        <v>0.479166666666667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0.145833333333334</v>
      </c>
      <c r="L26" s="55"/>
      <c r="M26" s="56"/>
    </row>
    <row r="27" customFormat="false" ht="15" hidden="false" customHeight="true" outlineLevel="0" collapsed="false">
      <c r="A27" s="26" t="n">
        <v>44654</v>
      </c>
      <c r="B27" s="27" t="n">
        <v>0.729166666666667</v>
      </c>
      <c r="C27" s="28" t="s">
        <v>10</v>
      </c>
      <c r="D27" s="28"/>
      <c r="E27" s="29"/>
      <c r="F27" s="30" t="s">
        <v>10</v>
      </c>
      <c r="G27" s="30"/>
      <c r="H27" s="31" t="n">
        <v>0.729166666666667</v>
      </c>
      <c r="I27" s="32" t="s">
        <v>10</v>
      </c>
      <c r="J27" s="32"/>
      <c r="K27" s="57" t="n">
        <v>0.5</v>
      </c>
      <c r="L27" s="34" t="s">
        <v>10</v>
      </c>
      <c r="M27" s="34"/>
    </row>
    <row r="28" customFormat="false" ht="14.25" hidden="false" customHeight="false" outlineLevel="0" collapsed="false">
      <c r="A28" s="26"/>
      <c r="B28" s="37" t="n">
        <v>0.854166666666667</v>
      </c>
      <c r="C28" s="28"/>
      <c r="D28" s="28"/>
      <c r="E28" s="38"/>
      <c r="F28" s="30"/>
      <c r="G28" s="30"/>
      <c r="H28" s="39" t="n">
        <v>0.9375</v>
      </c>
      <c r="I28" s="32"/>
      <c r="J28" s="32"/>
      <c r="K28" s="40" t="n">
        <v>0.666666666666667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0.125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0.208333333333333</v>
      </c>
      <c r="I29" s="48"/>
      <c r="J29" s="49"/>
      <c r="K29" s="54" t="n">
        <f aca="false">K28-K27</f>
        <v>0.166666666666667</v>
      </c>
      <c r="L29" s="55"/>
      <c r="M29" s="56"/>
    </row>
    <row r="30" customFormat="false" ht="15" hidden="false" customHeight="true" outlineLevel="0" collapsed="false">
      <c r="A30" s="26" t="n">
        <v>44663</v>
      </c>
      <c r="B30" s="27" t="n">
        <v>0.791666666666667</v>
      </c>
      <c r="C30" s="28" t="s">
        <v>57</v>
      </c>
      <c r="D30" s="28"/>
      <c r="E30" s="29"/>
      <c r="F30" s="30" t="s">
        <v>10</v>
      </c>
      <c r="G30" s="30"/>
      <c r="H30" s="31"/>
      <c r="I30" s="32" t="s">
        <v>9</v>
      </c>
      <c r="J30" s="32"/>
      <c r="K30" s="33"/>
      <c r="L30" s="34" t="s">
        <v>10</v>
      </c>
      <c r="M30" s="34"/>
    </row>
    <row r="31" customFormat="false" ht="14.25" hidden="false" customHeight="false" outlineLevel="0" collapsed="false">
      <c r="A31" s="26"/>
      <c r="B31" s="37" t="n">
        <v>0.9375</v>
      </c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0.145833333333333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 t="n">
        <v>44664</v>
      </c>
      <c r="B33" s="27" t="n">
        <v>0.40625</v>
      </c>
      <c r="C33" s="28" t="s">
        <v>57</v>
      </c>
      <c r="D33" s="28"/>
      <c r="E33" s="29"/>
      <c r="F33" s="30" t="s">
        <v>10</v>
      </c>
      <c r="G33" s="30"/>
      <c r="H33" s="31"/>
      <c r="I33" s="32" t="s">
        <v>9</v>
      </c>
      <c r="J33" s="32"/>
      <c r="K33" s="33" t="n">
        <v>0.416666666666667</v>
      </c>
      <c r="L33" s="34" t="s">
        <v>58</v>
      </c>
      <c r="M33" s="34"/>
    </row>
    <row r="34" customFormat="false" ht="14.25" hidden="false" customHeight="false" outlineLevel="0" collapsed="false">
      <c r="A34" s="26"/>
      <c r="B34" s="37" t="n">
        <v>0.59375</v>
      </c>
      <c r="C34" s="28"/>
      <c r="D34" s="28"/>
      <c r="E34" s="38"/>
      <c r="F34" s="30"/>
      <c r="G34" s="30"/>
      <c r="H34" s="39"/>
      <c r="I34" s="32"/>
      <c r="J34" s="32"/>
      <c r="K34" s="40" t="n">
        <v>0.625</v>
      </c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0.1875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0.208333333333333</v>
      </c>
      <c r="L35" s="55"/>
      <c r="M35" s="56"/>
    </row>
    <row r="36" customFormat="false" ht="15" hidden="false" customHeight="true" outlineLevel="0" collapsed="false">
      <c r="A36" s="26" t="n">
        <v>44665</v>
      </c>
      <c r="B36" s="27"/>
      <c r="C36" s="28" t="s">
        <v>10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 t="n">
        <v>0.666666666666667</v>
      </c>
      <c r="L36" s="34" t="s">
        <v>59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 t="n">
        <v>0.916666666666667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0.25</v>
      </c>
      <c r="L38" s="55"/>
      <c r="M38" s="56"/>
    </row>
    <row r="39" customFormat="false" ht="15" hidden="false" customHeight="true" outlineLevel="0" collapsed="false">
      <c r="A39" s="26" t="n">
        <v>44666</v>
      </c>
      <c r="B39" s="27"/>
      <c r="C39" s="28" t="s">
        <v>10</v>
      </c>
      <c r="D39" s="28"/>
      <c r="E39" s="29"/>
      <c r="F39" s="30" t="s">
        <v>10</v>
      </c>
      <c r="G39" s="30"/>
      <c r="H39" s="31"/>
      <c r="I39" s="32" t="s">
        <v>10</v>
      </c>
      <c r="J39" s="32"/>
      <c r="K39" s="33" t="n">
        <v>0.333333333333333</v>
      </c>
      <c r="L39" s="34" t="s">
        <v>10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 t="n">
        <v>0.583333333333333</v>
      </c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0.25</v>
      </c>
      <c r="L41" s="61"/>
      <c r="M41" s="62"/>
    </row>
    <row r="42" customFormat="false" ht="15" hidden="false" customHeight="true" outlineLevel="0" collapsed="false">
      <c r="A42" s="26" t="n">
        <v>44669</v>
      </c>
      <c r="B42" s="27" t="n">
        <v>0.458333333333333</v>
      </c>
      <c r="C42" s="28" t="s">
        <v>60</v>
      </c>
      <c r="D42" s="28"/>
      <c r="E42" s="29"/>
      <c r="F42" s="30" t="s">
        <v>10</v>
      </c>
      <c r="G42" s="30"/>
      <c r="H42" s="31" t="n">
        <v>0.416666666666667</v>
      </c>
      <c r="I42" s="32" t="s">
        <v>10</v>
      </c>
      <c r="J42" s="32"/>
      <c r="K42" s="33"/>
      <c r="L42" s="34" t="s">
        <v>10</v>
      </c>
      <c r="M42" s="34"/>
    </row>
    <row r="43" customFormat="false" ht="14.25" hidden="false" customHeight="false" outlineLevel="0" collapsed="false">
      <c r="A43" s="26"/>
      <c r="B43" s="37" t="n">
        <v>0.520833333333333</v>
      </c>
      <c r="C43" s="28"/>
      <c r="D43" s="28"/>
      <c r="E43" s="38"/>
      <c r="F43" s="30"/>
      <c r="G43" s="30"/>
      <c r="H43" s="39" t="n">
        <v>0.666666666666667</v>
      </c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0.0625000000000001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0.25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 t="n">
        <v>44676</v>
      </c>
      <c r="B45" s="27" t="n">
        <v>0.333333333333333</v>
      </c>
      <c r="C45" s="28" t="s">
        <v>61</v>
      </c>
      <c r="D45" s="28"/>
      <c r="E45" s="29"/>
      <c r="F45" s="30" t="s">
        <v>10</v>
      </c>
      <c r="G45" s="30"/>
      <c r="H45" s="31" t="n">
        <v>0.333333333333333</v>
      </c>
      <c r="I45" s="32" t="s">
        <v>10</v>
      </c>
      <c r="J45" s="32"/>
      <c r="K45" s="33"/>
      <c r="L45" s="34" t="s">
        <v>10</v>
      </c>
      <c r="M45" s="34"/>
    </row>
    <row r="46" customFormat="false" ht="14.25" hidden="false" customHeight="false" outlineLevel="0" collapsed="false">
      <c r="A46" s="26"/>
      <c r="B46" s="37" t="n">
        <v>0.416666666666667</v>
      </c>
      <c r="C46" s="28"/>
      <c r="D46" s="28"/>
      <c r="E46" s="38"/>
      <c r="F46" s="30"/>
      <c r="G46" s="30"/>
      <c r="H46" s="39" t="n">
        <v>0.416666666666667</v>
      </c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0.083333333333334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0.083333333333334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 t="n">
        <v>44676</v>
      </c>
      <c r="B48" s="27" t="n">
        <v>0.607638888888889</v>
      </c>
      <c r="C48" s="28" t="s">
        <v>57</v>
      </c>
      <c r="D48" s="28"/>
      <c r="E48" s="29"/>
      <c r="F48" s="30" t="s">
        <v>10</v>
      </c>
      <c r="G48" s="30"/>
      <c r="H48" s="31" t="n">
        <v>0.607638888888889</v>
      </c>
      <c r="I48" s="32" t="s">
        <v>10</v>
      </c>
      <c r="J48" s="32"/>
      <c r="K48" s="33"/>
      <c r="L48" s="34" t="s">
        <v>10</v>
      </c>
      <c r="M48" s="34"/>
    </row>
    <row r="49" customFormat="false" ht="14.25" hidden="false" customHeight="false" outlineLevel="0" collapsed="false">
      <c r="A49" s="26"/>
      <c r="B49" s="37" t="n">
        <v>0.71875</v>
      </c>
      <c r="C49" s="28"/>
      <c r="D49" s="28"/>
      <c r="E49" s="38"/>
      <c r="F49" s="30"/>
      <c r="G49" s="30"/>
      <c r="H49" s="39" t="n">
        <v>0.71875</v>
      </c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0.111111111111111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0.111111111111111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 t="n">
        <v>44678</v>
      </c>
      <c r="B51" s="27" t="n">
        <v>0.493055555555556</v>
      </c>
      <c r="C51" s="28" t="s">
        <v>62</v>
      </c>
      <c r="D51" s="28"/>
      <c r="E51" s="29"/>
      <c r="F51" s="30" t="s">
        <v>10</v>
      </c>
      <c r="G51" s="30"/>
      <c r="H51" s="31" t="n">
        <v>0.493055555555556</v>
      </c>
      <c r="I51" s="32" t="s">
        <v>10</v>
      </c>
      <c r="J51" s="32"/>
      <c r="K51" s="33"/>
      <c r="L51" s="34" t="s">
        <v>10</v>
      </c>
      <c r="M51" s="34"/>
    </row>
    <row r="52" customFormat="false" ht="14.25" hidden="false" customHeight="false" outlineLevel="0" collapsed="false">
      <c r="A52" s="26"/>
      <c r="B52" s="37" t="n">
        <v>0.527777777777778</v>
      </c>
      <c r="C52" s="28"/>
      <c r="D52" s="28"/>
      <c r="E52" s="38"/>
      <c r="F52" s="30"/>
      <c r="G52" s="30"/>
      <c r="H52" s="39" t="n">
        <v>0.527777777777778</v>
      </c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0.034722222222222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0.034722222222222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 t="n">
        <v>44682</v>
      </c>
      <c r="B54" s="27" t="n">
        <v>0.729166666666667</v>
      </c>
      <c r="C54" s="28" t="s">
        <v>63</v>
      </c>
      <c r="D54" s="28"/>
      <c r="E54" s="29" t="n">
        <v>0.71875</v>
      </c>
      <c r="F54" s="30" t="s">
        <v>64</v>
      </c>
      <c r="G54" s="30"/>
      <c r="H54" s="31" t="n">
        <v>0.5</v>
      </c>
      <c r="I54" s="32" t="s">
        <v>10</v>
      </c>
      <c r="J54" s="32"/>
      <c r="K54" s="33"/>
      <c r="L54" s="34" t="s">
        <v>10</v>
      </c>
      <c r="M54" s="34"/>
    </row>
    <row r="55" customFormat="false" ht="14.25" hidden="false" customHeight="false" outlineLevel="0" collapsed="false">
      <c r="A55" s="26"/>
      <c r="B55" s="37" t="n">
        <v>0.979166666666667</v>
      </c>
      <c r="C55" s="28"/>
      <c r="D55" s="28"/>
      <c r="E55" s="38" t="n">
        <v>0.84375</v>
      </c>
      <c r="F55" s="30"/>
      <c r="G55" s="30"/>
      <c r="H55" s="39" t="n">
        <v>0.833333333333333</v>
      </c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0.25</v>
      </c>
      <c r="C56" s="42"/>
      <c r="D56" s="43"/>
      <c r="E56" s="44" t="n">
        <f aca="false">E55-E54</f>
        <v>0.125</v>
      </c>
      <c r="F56" s="45"/>
      <c r="G56" s="46"/>
      <c r="H56" s="47" t="n">
        <f aca="false">H55-H54</f>
        <v>0.333333333333333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10</v>
      </c>
      <c r="D57" s="28"/>
      <c r="E57" s="29"/>
      <c r="F57" s="30" t="s">
        <v>10</v>
      </c>
      <c r="G57" s="30"/>
      <c r="H57" s="31"/>
      <c r="I57" s="32" t="s">
        <v>10</v>
      </c>
      <c r="J57" s="32"/>
      <c r="K57" s="33"/>
      <c r="L57" s="34" t="s">
        <v>10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O10" activeCellId="0" sqref="O1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0.82013888888889</v>
      </c>
      <c r="D2" s="14" t="n">
        <f aca="false">C2+Sprint_7!D2</f>
        <v>6.56944444444445</v>
      </c>
      <c r="E2" s="15" t="s">
        <v>6</v>
      </c>
      <c r="F2" s="16" t="n">
        <f aca="false" t="array" ref="F2:F2">SUM(E5:E161*(MOD(ROW(E5:E161)-2,3)=0))</f>
        <v>0.631944444444446</v>
      </c>
      <c r="G2" s="17" t="n">
        <f aca="false">F2+Sprint_7!G2</f>
        <v>0.756944444444446</v>
      </c>
      <c r="H2" s="18" t="s">
        <v>7</v>
      </c>
      <c r="I2" s="19" t="n">
        <f aca="false" t="array" ref="I2:I2">SUM(H5:H161*(MOD(ROW(H5:H161)-2,3)=0))</f>
        <v>0.595138888888889</v>
      </c>
      <c r="J2" s="20" t="n">
        <f aca="false">I2+Sprint_7!J2</f>
        <v>5.73958333333334</v>
      </c>
      <c r="K2" s="21" t="s">
        <v>8</v>
      </c>
      <c r="L2" s="22" t="n">
        <f aca="false" t="array" ref="L2:L2">SUM(K5:K161*(MOD(ROW(K5:K161)-2,3)=0))</f>
        <v>0.77013888888889</v>
      </c>
      <c r="M2" s="23" t="n">
        <f aca="false">L2+Sprint_7!M2</f>
        <v>7.15277777777779</v>
      </c>
      <c r="N2" s="24" t="s">
        <v>2</v>
      </c>
      <c r="O2" s="25" t="n">
        <f aca="false">C2+F2+I2+L2</f>
        <v>2.81736111111112</v>
      </c>
    </row>
    <row r="3" customFormat="false" ht="15" hidden="false" customHeight="true" outlineLevel="0" collapsed="false">
      <c r="A3" s="26" t="n">
        <v>44683</v>
      </c>
      <c r="B3" s="27" t="n">
        <v>0.333333333333333</v>
      </c>
      <c r="C3" s="28" t="s">
        <v>65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20.21875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0.083333333333334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44683</v>
      </c>
      <c r="B6" s="27" t="n">
        <v>0.416666666666667</v>
      </c>
      <c r="C6" s="28" t="s">
        <v>66</v>
      </c>
      <c r="D6" s="28"/>
      <c r="E6" s="29"/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0.604166666666667</v>
      </c>
      <c r="C7" s="28"/>
      <c r="D7" s="28"/>
      <c r="E7" s="38"/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0.1875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/>
      <c r="B9" s="27" t="n">
        <v>0.604166666666667</v>
      </c>
      <c r="C9" s="28" t="s">
        <v>9</v>
      </c>
      <c r="D9" s="28"/>
      <c r="E9" s="29"/>
      <c r="F9" s="30" t="s">
        <v>9</v>
      </c>
      <c r="G9" s="30"/>
      <c r="H9" s="31" t="n">
        <v>0.604166666666667</v>
      </c>
      <c r="I9" s="32" t="s">
        <v>9</v>
      </c>
      <c r="J9" s="32"/>
      <c r="K9" s="57" t="n">
        <v>0.604166666666667</v>
      </c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0.604861111111111</v>
      </c>
      <c r="C10" s="28"/>
      <c r="D10" s="28"/>
      <c r="E10" s="38"/>
      <c r="F10" s="30"/>
      <c r="G10" s="30"/>
      <c r="H10" s="39" t="n">
        <v>0.605555555555555</v>
      </c>
      <c r="I10" s="32"/>
      <c r="J10" s="32"/>
      <c r="K10" s="40" t="n">
        <v>0.617361111111111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0.000694444444443998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0.001388888888888</v>
      </c>
      <c r="I11" s="48"/>
      <c r="J11" s="49"/>
      <c r="K11" s="54" t="n">
        <f aca="false">K10-K9</f>
        <v>0.0131944444444441</v>
      </c>
      <c r="L11" s="55"/>
      <c r="M11" s="56"/>
    </row>
    <row r="12" customFormat="false" ht="15" hidden="false" customHeight="true" outlineLevel="0" collapsed="false">
      <c r="A12" s="26" t="n">
        <v>44683</v>
      </c>
      <c r="B12" s="27" t="n">
        <v>0.565972222222222</v>
      </c>
      <c r="C12" s="28" t="s">
        <v>9</v>
      </c>
      <c r="D12" s="28"/>
      <c r="E12" s="29" t="n">
        <v>0.565972222222222</v>
      </c>
      <c r="F12" s="30" t="s">
        <v>9</v>
      </c>
      <c r="G12" s="30"/>
      <c r="H12" s="31" t="n">
        <v>0.565972222222222</v>
      </c>
      <c r="I12" s="32" t="s">
        <v>9</v>
      </c>
      <c r="J12" s="32"/>
      <c r="K12" s="57" t="n">
        <v>0.565972222222222</v>
      </c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0.71875</v>
      </c>
      <c r="C13" s="28"/>
      <c r="D13" s="28"/>
      <c r="E13" s="38" t="n">
        <v>0.71875</v>
      </c>
      <c r="F13" s="30"/>
      <c r="G13" s="30"/>
      <c r="H13" s="39" t="n">
        <v>0.71875</v>
      </c>
      <c r="I13" s="32"/>
      <c r="J13" s="32"/>
      <c r="K13" s="58" t="n">
        <v>0.71875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0.152777777777778</v>
      </c>
      <c r="C14" s="42"/>
      <c r="D14" s="43"/>
      <c r="E14" s="44" t="n">
        <f aca="false">E13-E12</f>
        <v>0.152777777777778</v>
      </c>
      <c r="F14" s="45"/>
      <c r="G14" s="46"/>
      <c r="H14" s="47" t="n">
        <f aca="false">H13-H12</f>
        <v>0.152777777777778</v>
      </c>
      <c r="I14" s="48"/>
      <c r="J14" s="49"/>
      <c r="K14" s="54" t="n">
        <f aca="false">K13-K12</f>
        <v>0.152777777777778</v>
      </c>
      <c r="L14" s="55"/>
      <c r="M14" s="56"/>
    </row>
    <row r="15" customFormat="false" ht="15" hidden="false" customHeight="true" outlineLevel="0" collapsed="false">
      <c r="A15" s="26" t="n">
        <v>44689</v>
      </c>
      <c r="B15" s="27" t="n">
        <v>0.833333333333333</v>
      </c>
      <c r="C15" s="28" t="s">
        <v>9</v>
      </c>
      <c r="D15" s="28"/>
      <c r="E15" s="29" t="n">
        <v>0.833333333333333</v>
      </c>
      <c r="F15" s="30" t="s">
        <v>9</v>
      </c>
      <c r="G15" s="30"/>
      <c r="H15" s="31"/>
      <c r="I15" s="32" t="s">
        <v>9</v>
      </c>
      <c r="J15" s="32"/>
      <c r="K15" s="57" t="n">
        <v>0.833333333333333</v>
      </c>
      <c r="L15" s="138" t="s">
        <v>9</v>
      </c>
      <c r="M15" s="138"/>
    </row>
    <row r="16" customFormat="false" ht="14.25" hidden="false" customHeight="false" outlineLevel="0" collapsed="false">
      <c r="A16" s="26"/>
      <c r="B16" s="37" t="n">
        <v>0.916666666666667</v>
      </c>
      <c r="C16" s="28"/>
      <c r="D16" s="28"/>
      <c r="E16" s="38" t="n">
        <v>0.916666666666667</v>
      </c>
      <c r="F16" s="30"/>
      <c r="G16" s="30"/>
      <c r="H16" s="39"/>
      <c r="I16" s="32"/>
      <c r="J16" s="32"/>
      <c r="K16" s="58" t="n">
        <v>0.916666666666667</v>
      </c>
      <c r="L16" s="138"/>
      <c r="M16" s="138"/>
    </row>
    <row r="17" customFormat="false" ht="14.25" hidden="false" customHeight="false" outlineLevel="0" collapsed="false">
      <c r="A17" s="26"/>
      <c r="B17" s="41" t="n">
        <f aca="false">(B16-B15)</f>
        <v>0.0833333333333339</v>
      </c>
      <c r="C17" s="42"/>
      <c r="D17" s="43"/>
      <c r="E17" s="44" t="n">
        <f aca="false">E16-E15</f>
        <v>0.0833333333333339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0.0833333333333339</v>
      </c>
      <c r="L17" s="59"/>
      <c r="M17" s="60"/>
    </row>
    <row r="18" customFormat="false" ht="15" hidden="false" customHeight="true" outlineLevel="0" collapsed="false">
      <c r="A18" s="26" t="n">
        <v>44690</v>
      </c>
      <c r="B18" s="27" t="n">
        <v>0.333333333333333</v>
      </c>
      <c r="C18" s="28" t="s">
        <v>9</v>
      </c>
      <c r="D18" s="28"/>
      <c r="E18" s="29" t="n">
        <v>0.333333333333333</v>
      </c>
      <c r="F18" s="30" t="s">
        <v>9</v>
      </c>
      <c r="G18" s="30"/>
      <c r="H18" s="31" t="n">
        <v>0.333333333333333</v>
      </c>
      <c r="I18" s="32" t="s">
        <v>9</v>
      </c>
      <c r="J18" s="32"/>
      <c r="K18" s="57" t="n">
        <v>0.333333333333333</v>
      </c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0.416666666666667</v>
      </c>
      <c r="C19" s="28"/>
      <c r="D19" s="28"/>
      <c r="E19" s="38" t="n">
        <v>0.416666666666667</v>
      </c>
      <c r="F19" s="30"/>
      <c r="G19" s="30"/>
      <c r="H19" s="39" t="n">
        <v>0.416666666666667</v>
      </c>
      <c r="I19" s="32"/>
      <c r="J19" s="32"/>
      <c r="K19" s="58" t="n">
        <v>0.416666666666667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0.083333333333334</v>
      </c>
      <c r="C20" s="42"/>
      <c r="D20" s="43"/>
      <c r="E20" s="44" t="n">
        <f aca="false">E19-E18</f>
        <v>0.083333333333334</v>
      </c>
      <c r="F20" s="45"/>
      <c r="G20" s="46"/>
      <c r="H20" s="47" t="n">
        <f aca="false">H19-H18</f>
        <v>0.083333333333334</v>
      </c>
      <c r="I20" s="48"/>
      <c r="J20" s="49"/>
      <c r="K20" s="59" t="n">
        <f aca="false">K19-K18</f>
        <v>0.083333333333334</v>
      </c>
      <c r="L20" s="59"/>
      <c r="M20" s="60"/>
    </row>
    <row r="21" customFormat="false" ht="15" hidden="false" customHeight="true" outlineLevel="0" collapsed="false">
      <c r="A21" s="26" t="n">
        <v>44690</v>
      </c>
      <c r="B21" s="27" t="n">
        <v>0.565972222222222</v>
      </c>
      <c r="C21" s="28" t="s">
        <v>9</v>
      </c>
      <c r="D21" s="28"/>
      <c r="E21" s="29" t="n">
        <v>0.565972222222222</v>
      </c>
      <c r="F21" s="30" t="s">
        <v>9</v>
      </c>
      <c r="G21" s="30"/>
      <c r="H21" s="31" t="n">
        <v>0.645833333333333</v>
      </c>
      <c r="I21" s="32" t="s">
        <v>9</v>
      </c>
      <c r="J21" s="32"/>
      <c r="K21" s="33" t="n">
        <v>0.565972222222222</v>
      </c>
      <c r="L21" s="34" t="s">
        <v>9</v>
      </c>
      <c r="M21" s="34"/>
    </row>
    <row r="22" customFormat="false" ht="14.25" hidden="false" customHeight="false" outlineLevel="0" collapsed="false">
      <c r="A22" s="26"/>
      <c r="B22" s="37" t="n">
        <v>0.71875</v>
      </c>
      <c r="C22" s="28"/>
      <c r="D22" s="28"/>
      <c r="E22" s="38" t="n">
        <v>0.71875</v>
      </c>
      <c r="F22" s="30"/>
      <c r="G22" s="30"/>
      <c r="H22" s="39" t="n">
        <v>0.71875</v>
      </c>
      <c r="I22" s="32"/>
      <c r="J22" s="32"/>
      <c r="K22" s="40" t="n">
        <v>0.71875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0.152777777777778</v>
      </c>
      <c r="C23" s="42"/>
      <c r="D23" s="43"/>
      <c r="E23" s="44" t="n">
        <f aca="false">E22-E21</f>
        <v>0.152777777777778</v>
      </c>
      <c r="F23" s="45"/>
      <c r="G23" s="46"/>
      <c r="H23" s="47" t="n">
        <f aca="false">H22-H21</f>
        <v>0.072916666666667</v>
      </c>
      <c r="I23" s="48"/>
      <c r="J23" s="49"/>
      <c r="K23" s="54" t="n">
        <f aca="false">K22-K21</f>
        <v>0.152777777777778</v>
      </c>
      <c r="L23" s="55"/>
      <c r="M23" s="56"/>
    </row>
    <row r="24" customFormat="false" ht="15" hidden="false" customHeight="true" outlineLevel="0" collapsed="false">
      <c r="A24" s="26" t="n">
        <v>44692</v>
      </c>
      <c r="B24" s="27" t="n">
        <v>0.493055555555556</v>
      </c>
      <c r="C24" s="28" t="s">
        <v>9</v>
      </c>
      <c r="D24" s="28"/>
      <c r="E24" s="29" t="n">
        <v>0.493055555555556</v>
      </c>
      <c r="F24" s="30" t="s">
        <v>9</v>
      </c>
      <c r="G24" s="30"/>
      <c r="H24" s="31" t="n">
        <v>0.493055555555556</v>
      </c>
      <c r="I24" s="32" t="s">
        <v>9</v>
      </c>
      <c r="J24" s="32"/>
      <c r="K24" s="33" t="n">
        <v>0.493055555555556</v>
      </c>
      <c r="L24" s="34" t="s">
        <v>9</v>
      </c>
      <c r="M24" s="34"/>
    </row>
    <row r="25" customFormat="false" ht="14.25" hidden="false" customHeight="false" outlineLevel="0" collapsed="false">
      <c r="A25" s="26"/>
      <c r="B25" s="37" t="n">
        <v>0.527777777777778</v>
      </c>
      <c r="C25" s="28"/>
      <c r="D25" s="28"/>
      <c r="E25" s="38" t="n">
        <v>0.527777777777778</v>
      </c>
      <c r="F25" s="30"/>
      <c r="G25" s="30"/>
      <c r="H25" s="39" t="n">
        <v>0.527777777777778</v>
      </c>
      <c r="I25" s="32"/>
      <c r="J25" s="32"/>
      <c r="K25" s="58" t="n">
        <v>0.527777777777778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0.034722222222222</v>
      </c>
      <c r="C26" s="42"/>
      <c r="D26" s="43"/>
      <c r="E26" s="44" t="n">
        <f aca="false">E25-E24</f>
        <v>0.034722222222222</v>
      </c>
      <c r="F26" s="45"/>
      <c r="G26" s="46"/>
      <c r="H26" s="47" t="n">
        <f aca="false">H25-H24</f>
        <v>0.034722222222222</v>
      </c>
      <c r="I26" s="48"/>
      <c r="J26" s="49"/>
      <c r="K26" s="61" t="n">
        <f aca="false">K25-K24</f>
        <v>0.034722222222222</v>
      </c>
      <c r="L26" s="61"/>
      <c r="M26" s="62"/>
    </row>
    <row r="27" customFormat="false" ht="15" hidden="false" customHeight="true" outlineLevel="0" collapsed="false">
      <c r="A27" s="26" t="n">
        <v>44696</v>
      </c>
      <c r="B27" s="27" t="n">
        <v>0.916666666666667</v>
      </c>
      <c r="C27" s="28" t="s">
        <v>9</v>
      </c>
      <c r="D27" s="28"/>
      <c r="E27" s="29" t="n">
        <v>0.916666666666667</v>
      </c>
      <c r="F27" s="30" t="s">
        <v>9</v>
      </c>
      <c r="G27" s="30"/>
      <c r="H27" s="31" t="n">
        <v>0.791666666666667</v>
      </c>
      <c r="I27" s="32" t="s">
        <v>27</v>
      </c>
      <c r="J27" s="32"/>
      <c r="K27" s="57" t="n">
        <v>0.791666666666667</v>
      </c>
      <c r="L27" s="34" t="s">
        <v>67</v>
      </c>
      <c r="M27" s="34"/>
    </row>
    <row r="28" customFormat="false" ht="14.25" hidden="false" customHeight="false" outlineLevel="0" collapsed="false">
      <c r="A28" s="26"/>
      <c r="B28" s="37" t="n">
        <v>0.958333333333333</v>
      </c>
      <c r="C28" s="28"/>
      <c r="D28" s="28"/>
      <c r="E28" s="38" t="n">
        <v>0.958333333333333</v>
      </c>
      <c r="F28" s="30"/>
      <c r="G28" s="30"/>
      <c r="H28" s="39" t="n">
        <v>0.958333333333333</v>
      </c>
      <c r="I28" s="32"/>
      <c r="J28" s="32"/>
      <c r="K28" s="40" t="n">
        <v>0.958333333333333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0.0416666666666661</v>
      </c>
      <c r="C29" s="42"/>
      <c r="D29" s="43"/>
      <c r="E29" s="44" t="n">
        <f aca="false">E28-E27</f>
        <v>0.0416666666666661</v>
      </c>
      <c r="F29" s="45"/>
      <c r="G29" s="46"/>
      <c r="H29" s="47" t="n">
        <f aca="false">H28-H27</f>
        <v>0.166666666666666</v>
      </c>
      <c r="I29" s="48"/>
      <c r="J29" s="49"/>
      <c r="K29" s="54" t="n">
        <f aca="false">K28-K27</f>
        <v>0.166666666666666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D2" activeCellId="0" sqref="D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0.927083333333335</v>
      </c>
      <c r="D2" s="14" t="n">
        <f aca="false">C2+Sprint_8!D2</f>
        <v>7.49652777777779</v>
      </c>
      <c r="E2" s="15" t="s">
        <v>6</v>
      </c>
      <c r="F2" s="16" t="n">
        <f aca="false" t="array" ref="F2:F2">SUM(E5:E161*(MOD(ROW(E5:E161)-2,3)=0))</f>
        <v>1.05208333333333</v>
      </c>
      <c r="G2" s="17" t="n">
        <f aca="false">F2+Sprint_8!G2</f>
        <v>1.80902777777778</v>
      </c>
      <c r="H2" s="18" t="s">
        <v>7</v>
      </c>
      <c r="I2" s="19" t="n">
        <f aca="false" t="array" ref="I2:I2">SUM(H5:H161*(MOD(ROW(H5:H161)-2,3)=0))</f>
        <v>0.875</v>
      </c>
      <c r="J2" s="20" t="n">
        <f aca="false">I2+Sprint_8!J2</f>
        <v>6.61458333333334</v>
      </c>
      <c r="K2" s="21" t="s">
        <v>8</v>
      </c>
      <c r="L2" s="22" t="n">
        <f aca="false" t="array" ref="L2:L2">SUM(K5:K161*(MOD(ROW(K5:K161)-2,3)=0))</f>
        <v>1.04166666666667</v>
      </c>
      <c r="M2" s="23" t="n">
        <f aca="false">L2+Sprint_8!M2</f>
        <v>8.19444444444445</v>
      </c>
      <c r="N2" s="24" t="s">
        <v>2</v>
      </c>
      <c r="O2" s="25" t="n">
        <f aca="false">C2+F2+I2+L2</f>
        <v>3.89583333333333</v>
      </c>
    </row>
    <row r="3" customFormat="false" ht="15" hidden="false" customHeight="true" outlineLevel="0" collapsed="false">
      <c r="A3" s="26" t="n">
        <v>44697</v>
      </c>
      <c r="B3" s="27" t="n">
        <v>0.333333333333333</v>
      </c>
      <c r="C3" s="28" t="s">
        <v>9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24.1145833333334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0.083333333333334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44697</v>
      </c>
      <c r="B6" s="27" t="n">
        <v>0.604166666666667</v>
      </c>
      <c r="C6" s="28" t="s">
        <v>9</v>
      </c>
      <c r="D6" s="28"/>
      <c r="E6" s="29" t="n">
        <v>0.604166666666667</v>
      </c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 t="n">
        <v>0.71875</v>
      </c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0.114583333333333</v>
      </c>
      <c r="C8" s="42"/>
      <c r="D8" s="43"/>
      <c r="E8" s="44" t="n">
        <f aca="false">E7-E6</f>
        <v>0.114583333333333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 t="n">
        <v>44699</v>
      </c>
      <c r="B9" s="27" t="n">
        <v>0.493055555555556</v>
      </c>
      <c r="C9" s="28" t="s">
        <v>9</v>
      </c>
      <c r="D9" s="28"/>
      <c r="E9" s="29" t="n">
        <v>0.493055555555556</v>
      </c>
      <c r="F9" s="30" t="s">
        <v>9</v>
      </c>
      <c r="G9" s="30"/>
      <c r="H9" s="31"/>
      <c r="I9" s="32" t="s">
        <v>9</v>
      </c>
      <c r="J9" s="32"/>
      <c r="K9" s="57"/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 t="n">
        <v>0.527777777777778</v>
      </c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</v>
      </c>
      <c r="C11" s="42"/>
      <c r="D11" s="43"/>
      <c r="E11" s="44" t="n">
        <f aca="false">E10-E9</f>
        <v>0.034722222222222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 t="n">
        <v>44704</v>
      </c>
      <c r="B12" s="27" t="n">
        <v>0.333333333333333</v>
      </c>
      <c r="C12" s="28" t="s">
        <v>9</v>
      </c>
      <c r="D12" s="28"/>
      <c r="E12" s="29" t="n">
        <v>0.333333333333333</v>
      </c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8" t="n">
        <v>0.416666666666667</v>
      </c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0.083333333333334</v>
      </c>
      <c r="C14" s="42"/>
      <c r="D14" s="43"/>
      <c r="E14" s="44" t="n">
        <f aca="false">E13-E12</f>
        <v>0.083333333333334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 t="n">
        <v>44704</v>
      </c>
      <c r="B15" s="27" t="n">
        <v>0.604166666666667</v>
      </c>
      <c r="C15" s="28" t="s">
        <v>9</v>
      </c>
      <c r="D15" s="28"/>
      <c r="E15" s="29" t="n">
        <v>0.604166666666667</v>
      </c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 t="n">
        <v>0.71875</v>
      </c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0.114583333333333</v>
      </c>
      <c r="C17" s="42"/>
      <c r="D17" s="43"/>
      <c r="E17" s="44" t="n">
        <f aca="false">E16-E15</f>
        <v>0.114583333333333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n">
        <v>44706</v>
      </c>
      <c r="B18" s="27" t="n">
        <v>0.493055555555556</v>
      </c>
      <c r="C18" s="28" t="s">
        <v>9</v>
      </c>
      <c r="D18" s="28"/>
      <c r="E18" s="29" t="n">
        <v>0.493055555555556</v>
      </c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 t="n">
        <v>0.527777777777778</v>
      </c>
      <c r="F19" s="30"/>
      <c r="G19" s="30"/>
      <c r="H19" s="39"/>
      <c r="I19" s="32"/>
      <c r="J19" s="32"/>
      <c r="K19" s="40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</v>
      </c>
      <c r="C20" s="42"/>
      <c r="D20" s="43"/>
      <c r="E20" s="44" t="n">
        <f aca="false">E19-E18</f>
        <v>0.034722222222222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 t="n">
        <v>44711</v>
      </c>
      <c r="B21" s="27" t="n">
        <v>0.333333333333333</v>
      </c>
      <c r="C21" s="28" t="s">
        <v>9</v>
      </c>
      <c r="D21" s="28"/>
      <c r="E21" s="29" t="n">
        <v>0.333333333333333</v>
      </c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 t="n">
        <v>0.416666666666667</v>
      </c>
      <c r="C22" s="28"/>
      <c r="D22" s="28"/>
      <c r="E22" s="38" t="n">
        <v>0.416666666666667</v>
      </c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0.083333333333334</v>
      </c>
      <c r="C23" s="42"/>
      <c r="D23" s="43"/>
      <c r="E23" s="44" t="n">
        <f aca="false">E22-E21</f>
        <v>0.083333333333334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 t="n">
        <v>44711</v>
      </c>
      <c r="B24" s="27" t="n">
        <v>0.604166666666667</v>
      </c>
      <c r="C24" s="28" t="s">
        <v>9</v>
      </c>
      <c r="D24" s="28"/>
      <c r="E24" s="29" t="n">
        <v>0.604166666666667</v>
      </c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 t="n">
        <v>0.71875</v>
      </c>
      <c r="C25" s="28"/>
      <c r="D25" s="28"/>
      <c r="E25" s="38" t="n">
        <v>0.71875</v>
      </c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0.114583333333333</v>
      </c>
      <c r="C26" s="42"/>
      <c r="D26" s="43"/>
      <c r="E26" s="44" t="n">
        <f aca="false">E25-E24</f>
        <v>0.114583333333333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 t="n">
        <v>44713</v>
      </c>
      <c r="B27" s="27" t="n">
        <v>0.493055555555556</v>
      </c>
      <c r="C27" s="28" t="s">
        <v>9</v>
      </c>
      <c r="D27" s="28"/>
      <c r="E27" s="29" t="n">
        <v>0.493055555555556</v>
      </c>
      <c r="F27" s="30" t="s">
        <v>9</v>
      </c>
      <c r="G27" s="30"/>
      <c r="H27" s="31" t="n">
        <v>0.541666666666667</v>
      </c>
      <c r="I27" s="32" t="s">
        <v>9</v>
      </c>
      <c r="J27" s="32"/>
      <c r="K27" s="57" t="n">
        <v>0.625</v>
      </c>
      <c r="L27" s="34" t="s">
        <v>9</v>
      </c>
      <c r="M27" s="34"/>
    </row>
    <row r="28" customFormat="false" ht="14.25" hidden="false" customHeight="false" outlineLevel="0" collapsed="false">
      <c r="A28" s="26"/>
      <c r="B28" s="37" t="n">
        <v>0.527777777777778</v>
      </c>
      <c r="C28" s="28"/>
      <c r="D28" s="28"/>
      <c r="E28" s="38" t="n">
        <v>0.527777777777778</v>
      </c>
      <c r="F28" s="30"/>
      <c r="G28" s="30"/>
      <c r="H28" s="39" t="n">
        <v>0.916666666666667</v>
      </c>
      <c r="I28" s="32"/>
      <c r="J28" s="32"/>
      <c r="K28" s="40" t="n">
        <v>1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0.034722222222222</v>
      </c>
      <c r="C29" s="42"/>
      <c r="D29" s="43"/>
      <c r="E29" s="44" t="n">
        <f aca="false">E28-E27</f>
        <v>0.034722222222222</v>
      </c>
      <c r="F29" s="45"/>
      <c r="G29" s="46"/>
      <c r="H29" s="47" t="n">
        <f aca="false">H28-H27</f>
        <v>0.375</v>
      </c>
      <c r="I29" s="48"/>
      <c r="J29" s="49"/>
      <c r="K29" s="54" t="n">
        <f aca="false">K28-K27</f>
        <v>0.375</v>
      </c>
      <c r="L29" s="55"/>
      <c r="M29" s="56"/>
    </row>
    <row r="30" customFormat="false" ht="15" hidden="false" customHeight="true" outlineLevel="0" collapsed="false">
      <c r="A30" s="26" t="n">
        <v>44724</v>
      </c>
      <c r="B30" s="27" t="n">
        <v>0.833333333333333</v>
      </c>
      <c r="C30" s="28" t="s">
        <v>9</v>
      </c>
      <c r="D30" s="28"/>
      <c r="E30" s="29"/>
      <c r="F30" s="30" t="s">
        <v>9</v>
      </c>
      <c r="G30" s="30"/>
      <c r="H30" s="31" t="n">
        <v>0.541666666666667</v>
      </c>
      <c r="I30" s="32" t="s">
        <v>9</v>
      </c>
      <c r="J30" s="32"/>
      <c r="K30" s="33" t="n">
        <v>0.541666666666667</v>
      </c>
      <c r="L30" s="34" t="s">
        <v>9</v>
      </c>
      <c r="M30" s="34"/>
    </row>
    <row r="31" customFormat="false" ht="14.25" hidden="false" customHeight="false" outlineLevel="0" collapsed="false">
      <c r="A31" s="26"/>
      <c r="B31" s="37" t="n">
        <v>0.916666666666667</v>
      </c>
      <c r="C31" s="28"/>
      <c r="D31" s="28"/>
      <c r="E31" s="38"/>
      <c r="F31" s="30"/>
      <c r="G31" s="30"/>
      <c r="H31" s="39" t="n">
        <v>0.958333333333333</v>
      </c>
      <c r="I31" s="32"/>
      <c r="J31" s="32"/>
      <c r="K31" s="58" t="n">
        <v>0.958333333333333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0.0833333333333339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0.416666666666666</v>
      </c>
      <c r="I32" s="48"/>
      <c r="J32" s="49"/>
      <c r="K32" s="61" t="n">
        <f aca="false">K31-K30</f>
        <v>0.416666666666666</v>
      </c>
      <c r="L32" s="61"/>
      <c r="M32" s="62"/>
    </row>
    <row r="33" customFormat="false" ht="15" hidden="false" customHeight="true" outlineLevel="0" collapsed="false">
      <c r="A33" s="26" t="n">
        <v>44725</v>
      </c>
      <c r="B33" s="27" t="n">
        <v>0.833333333333333</v>
      </c>
      <c r="C33" s="28" t="s">
        <v>9</v>
      </c>
      <c r="D33" s="28"/>
      <c r="E33" s="29" t="n">
        <v>0.729166666666667</v>
      </c>
      <c r="F33" s="30" t="s">
        <v>68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 t="n">
        <v>0.958333333333333</v>
      </c>
      <c r="C34" s="28"/>
      <c r="D34" s="28"/>
      <c r="E34" s="38" t="n">
        <v>0.927083333333333</v>
      </c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0.125</v>
      </c>
      <c r="C35" s="42"/>
      <c r="D35" s="43"/>
      <c r="E35" s="44" t="n">
        <f aca="false">E34-E33</f>
        <v>0.197916666666666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 t="n">
        <v>44726</v>
      </c>
      <c r="B36" s="27" t="n">
        <v>0.708333333333333</v>
      </c>
      <c r="C36" s="28" t="s">
        <v>9</v>
      </c>
      <c r="D36" s="28"/>
      <c r="E36" s="29" t="n">
        <v>0.71875</v>
      </c>
      <c r="F36" s="30" t="s">
        <v>9</v>
      </c>
      <c r="G36" s="30"/>
      <c r="H36" s="31"/>
      <c r="I36" s="32" t="s">
        <v>9</v>
      </c>
      <c r="J36" s="32"/>
      <c r="K36" s="57" t="n">
        <v>0.791666666666667</v>
      </c>
      <c r="L36" s="34" t="s">
        <v>9</v>
      </c>
      <c r="M36" s="34"/>
    </row>
    <row r="37" customFormat="false" ht="14.25" hidden="false" customHeight="false" outlineLevel="0" collapsed="false">
      <c r="A37" s="26"/>
      <c r="B37" s="37" t="n">
        <v>0.729166666666667</v>
      </c>
      <c r="C37" s="28"/>
      <c r="D37" s="28"/>
      <c r="E37" s="38" t="n">
        <v>0.875</v>
      </c>
      <c r="F37" s="30"/>
      <c r="G37" s="30"/>
      <c r="H37" s="39"/>
      <c r="I37" s="32"/>
      <c r="J37" s="32"/>
      <c r="K37" s="40" t="n">
        <v>0.958333333333333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0.0208333333333339</v>
      </c>
      <c r="C38" s="42"/>
      <c r="D38" s="43"/>
      <c r="E38" s="44" t="n">
        <f aca="false">E37-E36</f>
        <v>0.15625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0.166666666666666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12" activeCellId="0" sqref="C1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0.270833333333333</v>
      </c>
      <c r="D2" s="14" t="n">
        <f aca="false">C2+Sprint_9!D2</f>
        <v>7.76736111111112</v>
      </c>
      <c r="E2" s="15" t="s">
        <v>6</v>
      </c>
      <c r="F2" s="16" t="n">
        <f aca="false" t="array" ref="F2:F2">SUM(E5:E161*(MOD(ROW(E5:E161)-2,3)=0))</f>
        <v>0.270833333333333</v>
      </c>
      <c r="G2" s="17" t="n">
        <f aca="false">F2+Sprint_9!G2</f>
        <v>2.07986111111111</v>
      </c>
      <c r="H2" s="18" t="s">
        <v>7</v>
      </c>
      <c r="I2" s="19" t="n">
        <f aca="false" t="array" ref="I2:I2">SUM(H5:H161*(MOD(ROW(H5:H161)-2,3)=0))</f>
        <v>0.260416666666666</v>
      </c>
      <c r="J2" s="20" t="n">
        <f aca="false">I2+Sprint_9!J2</f>
        <v>6.875</v>
      </c>
      <c r="K2" s="21" t="s">
        <v>8</v>
      </c>
      <c r="L2" s="22" t="n">
        <f aca="false" t="array" ref="L2:L2">SUM(K5:K161*(MOD(ROW(K5:K161)-2,3)=0))</f>
        <v>0.312499999999999</v>
      </c>
      <c r="M2" s="23" t="n">
        <f aca="false">L2+Sprint_9!M2</f>
        <v>8.50694444444445</v>
      </c>
      <c r="N2" s="24" t="s">
        <v>2</v>
      </c>
      <c r="O2" s="25" t="n">
        <f aca="false">C2+F2+I2+L2</f>
        <v>1.11458333333333</v>
      </c>
    </row>
    <row r="3" customFormat="false" ht="15" hidden="false" customHeight="true" outlineLevel="0" collapsed="false">
      <c r="A3" s="26" t="n">
        <v>44580.09</v>
      </c>
      <c r="B3" s="27" t="n">
        <v>0.5</v>
      </c>
      <c r="C3" s="28" t="s">
        <v>9</v>
      </c>
      <c r="D3" s="28"/>
      <c r="E3" s="139" t="n">
        <v>0.5</v>
      </c>
      <c r="F3" s="30" t="s">
        <v>9</v>
      </c>
      <c r="G3" s="30"/>
      <c r="H3" s="140" t="n">
        <v>0.53125</v>
      </c>
      <c r="I3" s="32" t="s">
        <v>9</v>
      </c>
      <c r="J3" s="32"/>
      <c r="K3" s="141" t="n">
        <v>0.5</v>
      </c>
      <c r="L3" s="34" t="s">
        <v>9</v>
      </c>
      <c r="M3" s="34"/>
      <c r="N3" s="35" t="s">
        <v>3</v>
      </c>
      <c r="O3" s="36" t="n">
        <f aca="false">D2+G2+J2+M2</f>
        <v>25.2291666666667</v>
      </c>
    </row>
    <row r="4" customFormat="false" ht="14.25" hidden="false" customHeight="false" outlineLevel="0" collapsed="false">
      <c r="A4" s="26"/>
      <c r="B4" s="37" t="n">
        <v>0.645833333333333</v>
      </c>
      <c r="C4" s="28"/>
      <c r="D4" s="28"/>
      <c r="E4" s="142" t="n">
        <v>0.645833333333333</v>
      </c>
      <c r="F4" s="30"/>
      <c r="G4" s="30"/>
      <c r="H4" s="143" t="n">
        <v>0.645833333333333</v>
      </c>
      <c r="I4" s="32"/>
      <c r="J4" s="32"/>
      <c r="K4" s="144" t="n">
        <v>0.645833333333333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0.145833333333333</v>
      </c>
      <c r="C5" s="42"/>
      <c r="D5" s="43"/>
      <c r="E5" s="44" t="n">
        <f aca="false">E4-E3</f>
        <v>0.145833333333333</v>
      </c>
      <c r="F5" s="45"/>
      <c r="G5" s="46"/>
      <c r="H5" s="47" t="n">
        <f aca="false">H4-H3</f>
        <v>0.114583333333333</v>
      </c>
      <c r="I5" s="48"/>
      <c r="J5" s="49"/>
      <c r="K5" s="50" t="n">
        <f aca="false">K4-K3</f>
        <v>0.145833333333333</v>
      </c>
      <c r="L5" s="51"/>
      <c r="M5" s="52"/>
    </row>
    <row r="6" customFormat="false" ht="15" hidden="false" customHeight="true" outlineLevel="0" collapsed="false">
      <c r="A6" s="26" t="s">
        <v>69</v>
      </c>
      <c r="B6" s="27" t="n">
        <v>0.625</v>
      </c>
      <c r="C6" s="28" t="s">
        <v>9</v>
      </c>
      <c r="D6" s="28"/>
      <c r="E6" s="29" t="n">
        <v>0.625</v>
      </c>
      <c r="F6" s="30" t="s">
        <v>9</v>
      </c>
      <c r="G6" s="30"/>
      <c r="H6" s="31" t="n">
        <v>0.75</v>
      </c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0.75</v>
      </c>
      <c r="C7" s="28"/>
      <c r="D7" s="28"/>
      <c r="E7" s="38" t="n">
        <v>0.75</v>
      </c>
      <c r="F7" s="30"/>
      <c r="G7" s="30"/>
      <c r="H7" s="39" t="n">
        <v>0.895833333333333</v>
      </c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0.125</v>
      </c>
      <c r="C8" s="42"/>
      <c r="D8" s="43"/>
      <c r="E8" s="44" t="n">
        <f aca="false">E7-E6</f>
        <v>0.125</v>
      </c>
      <c r="F8" s="45"/>
      <c r="G8" s="46"/>
      <c r="H8" s="47" t="n">
        <f aca="false">H7-H6</f>
        <v>0.145833333333333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 t="s">
        <v>70</v>
      </c>
      <c r="B9" s="27"/>
      <c r="C9" s="28" t="s">
        <v>9</v>
      </c>
      <c r="D9" s="28"/>
      <c r="E9" s="29"/>
      <c r="F9" s="30" t="s">
        <v>9</v>
      </c>
      <c r="G9" s="30"/>
      <c r="H9" s="31"/>
      <c r="I9" s="32" t="s">
        <v>9</v>
      </c>
      <c r="J9" s="32"/>
      <c r="K9" s="57" t="n">
        <v>0.666666666666667</v>
      </c>
      <c r="L9" s="34" t="s">
        <v>9</v>
      </c>
      <c r="M9" s="34"/>
    </row>
    <row r="10" customFormat="false" ht="14.25" hidden="false" customHeight="false" outlineLevel="0" collapsed="false">
      <c r="A10" s="26"/>
      <c r="B10" s="37"/>
      <c r="C10" s="28"/>
      <c r="D10" s="28"/>
      <c r="E10" s="38"/>
      <c r="F10" s="30"/>
      <c r="G10" s="30"/>
      <c r="H10" s="39"/>
      <c r="I10" s="32"/>
      <c r="J10" s="32"/>
      <c r="K10" s="40" t="n">
        <v>0.833333333333333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0.166666666666666</v>
      </c>
      <c r="L11" s="55"/>
      <c r="M11" s="56"/>
    </row>
    <row r="12" customFormat="false" ht="15" hidden="false" customHeight="true" outlineLevel="0" collapsed="false">
      <c r="A12" s="26"/>
      <c r="B12" s="27"/>
      <c r="C12" s="28" t="s">
        <v>9</v>
      </c>
      <c r="D12" s="28"/>
      <c r="E12" s="29"/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/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28" t="s">
        <v>9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28" t="s">
        <v>9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21" activeCellId="0" sqref="A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0.604166666666666</v>
      </c>
      <c r="D2" s="14" t="n">
        <f aca="false">C2+Sprint_10!D2</f>
        <v>8.37152777777779</v>
      </c>
      <c r="E2" s="15" t="s">
        <v>6</v>
      </c>
      <c r="F2" s="16" t="n">
        <f aca="false" t="array" ref="F2:F2">SUM(E5:E161*(MOD(ROW(E5:E161)-2,3)=0))</f>
        <v>0.624999999999999</v>
      </c>
      <c r="G2" s="17" t="n">
        <f aca="false">F2+Sprint_10!G2</f>
        <v>2.70486111111111</v>
      </c>
      <c r="H2" s="18" t="s">
        <v>7</v>
      </c>
      <c r="I2" s="19" t="n">
        <f aca="false" t="array" ref="I2:I2">SUM(H5:H161*(MOD(ROW(H5:H161)-2,3)=0))</f>
        <v>0.510416666666666</v>
      </c>
      <c r="J2" s="20" t="n">
        <f aca="false">I2+Sprint_10!J2</f>
        <v>7.38541666666667</v>
      </c>
      <c r="K2" s="21" t="s">
        <v>8</v>
      </c>
      <c r="L2" s="22" t="n">
        <f aca="false" t="array" ref="L2:L2">SUM(K5:K161*(MOD(ROW(K5:K161)-2,3)=0))</f>
        <v>0.635416666666666</v>
      </c>
      <c r="M2" s="23" t="n">
        <f aca="false">L2+Sprint_10!M2</f>
        <v>9.14236111111112</v>
      </c>
      <c r="N2" s="24" t="s">
        <v>2</v>
      </c>
      <c r="O2" s="25" t="n">
        <f aca="false">C2+F2+I2+L2</f>
        <v>2.375</v>
      </c>
    </row>
    <row r="3" customFormat="false" ht="15" hidden="false" customHeight="true" outlineLevel="0" collapsed="false">
      <c r="A3" s="26" t="s">
        <v>71</v>
      </c>
      <c r="B3" s="27" t="n">
        <v>0.53125</v>
      </c>
      <c r="C3" s="28" t="s">
        <v>9</v>
      </c>
      <c r="D3" s="28"/>
      <c r="E3" s="145" t="n">
        <v>0.53125</v>
      </c>
      <c r="F3" s="30" t="s">
        <v>9</v>
      </c>
      <c r="G3" s="30"/>
      <c r="H3" s="146"/>
      <c r="I3" s="32" t="s">
        <v>9</v>
      </c>
      <c r="J3" s="32"/>
      <c r="K3" s="147" t="n">
        <v>0.53125</v>
      </c>
      <c r="L3" s="34" t="s">
        <v>9</v>
      </c>
      <c r="M3" s="34"/>
      <c r="N3" s="35" t="s">
        <v>3</v>
      </c>
      <c r="O3" s="36" t="n">
        <f aca="false">D2+G2+J2+M2</f>
        <v>27.6041666666667</v>
      </c>
    </row>
    <row r="4" customFormat="false" ht="14.25" hidden="false" customHeight="false" outlineLevel="0" collapsed="false">
      <c r="A4" s="26"/>
      <c r="B4" s="37" t="n">
        <v>0.645833333333333</v>
      </c>
      <c r="C4" s="28"/>
      <c r="D4" s="28"/>
      <c r="E4" s="148" t="n">
        <v>0.645833333333333</v>
      </c>
      <c r="F4" s="30"/>
      <c r="G4" s="30"/>
      <c r="H4" s="149"/>
      <c r="I4" s="32"/>
      <c r="J4" s="32"/>
      <c r="K4" s="150" t="n">
        <v>0.645833333333333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0.114583333333333</v>
      </c>
      <c r="C5" s="42"/>
      <c r="D5" s="43"/>
      <c r="E5" s="44" t="n">
        <f aca="false">E4-E3</f>
        <v>0.114583333333333</v>
      </c>
      <c r="F5" s="45"/>
      <c r="G5" s="46"/>
      <c r="H5" s="47" t="n">
        <f aca="false">H4-H3</f>
        <v>0</v>
      </c>
      <c r="I5" s="48"/>
      <c r="J5" s="49"/>
      <c r="K5" s="50" t="n">
        <f aca="false">K4-K3</f>
        <v>0.114583333333333</v>
      </c>
      <c r="L5" s="51"/>
      <c r="M5" s="52"/>
    </row>
    <row r="6" customFormat="false" ht="15" hidden="false" customHeight="true" outlineLevel="0" collapsed="false">
      <c r="A6" s="26" t="s">
        <v>72</v>
      </c>
      <c r="B6" s="27" t="n">
        <v>0.333333333333333</v>
      </c>
      <c r="C6" s="28" t="s">
        <v>9</v>
      </c>
      <c r="D6" s="28"/>
      <c r="E6" s="145" t="n">
        <v>0.333333333333333</v>
      </c>
      <c r="F6" s="30" t="s">
        <v>9</v>
      </c>
      <c r="G6" s="30"/>
      <c r="H6" s="146"/>
      <c r="I6" s="32" t="s">
        <v>9</v>
      </c>
      <c r="J6" s="32"/>
      <c r="K6" s="147" t="n">
        <v>0.333333333333333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0.458333333333333</v>
      </c>
      <c r="C7" s="28"/>
      <c r="D7" s="28"/>
      <c r="E7" s="148" t="n">
        <v>0.458333333333333</v>
      </c>
      <c r="F7" s="30"/>
      <c r="G7" s="30"/>
      <c r="H7" s="149"/>
      <c r="I7" s="32"/>
      <c r="J7" s="32"/>
      <c r="K7" s="150" t="n">
        <v>0.458333333333333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0.125</v>
      </c>
      <c r="C8" s="42"/>
      <c r="D8" s="43"/>
      <c r="E8" s="44" t="n">
        <f aca="false">E7-E6</f>
        <v>0.125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0.125</v>
      </c>
      <c r="L8" s="55"/>
      <c r="M8" s="56"/>
    </row>
    <row r="9" customFormat="false" ht="15" hidden="false" customHeight="true" outlineLevel="0" collapsed="false">
      <c r="A9" s="26" t="s">
        <v>73</v>
      </c>
      <c r="B9" s="27" t="n">
        <v>0.53125</v>
      </c>
      <c r="C9" s="28" t="s">
        <v>9</v>
      </c>
      <c r="D9" s="28"/>
      <c r="E9" s="145" t="n">
        <v>0.53125</v>
      </c>
      <c r="F9" s="30" t="s">
        <v>9</v>
      </c>
      <c r="G9" s="30"/>
      <c r="H9" s="146" t="n">
        <v>0.53125</v>
      </c>
      <c r="I9" s="32" t="s">
        <v>9</v>
      </c>
      <c r="J9" s="32"/>
      <c r="K9" s="147" t="n">
        <v>0.53125</v>
      </c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0.645833333333333</v>
      </c>
      <c r="C10" s="28"/>
      <c r="D10" s="28"/>
      <c r="E10" s="148" t="n">
        <v>0.645833333333333</v>
      </c>
      <c r="F10" s="30"/>
      <c r="G10" s="30"/>
      <c r="H10" s="149" t="n">
        <v>0.645833333333333</v>
      </c>
      <c r="I10" s="32"/>
      <c r="J10" s="32"/>
      <c r="K10" s="150" t="n">
        <v>0.645833333333333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0.114583333333333</v>
      </c>
      <c r="C11" s="42"/>
      <c r="D11" s="43"/>
      <c r="E11" s="44" t="n">
        <f aca="false">E10-E9</f>
        <v>0.114583333333333</v>
      </c>
      <c r="F11" s="45"/>
      <c r="G11" s="46"/>
      <c r="H11" s="47" t="n">
        <f aca="false">H10-H9</f>
        <v>0.114583333333333</v>
      </c>
      <c r="I11" s="48"/>
      <c r="J11" s="49"/>
      <c r="K11" s="54" t="n">
        <f aca="false">K10-K9</f>
        <v>0.114583333333333</v>
      </c>
      <c r="L11" s="55"/>
      <c r="M11" s="56"/>
    </row>
    <row r="12" customFormat="false" ht="15" hidden="false" customHeight="true" outlineLevel="0" collapsed="false">
      <c r="A12" s="26" t="s">
        <v>74</v>
      </c>
      <c r="B12" s="27" t="n">
        <v>0.333333333333333</v>
      </c>
      <c r="C12" s="28" t="s">
        <v>9</v>
      </c>
      <c r="D12" s="28"/>
      <c r="E12" s="145" t="n">
        <v>0.333333333333333</v>
      </c>
      <c r="F12" s="30" t="s">
        <v>9</v>
      </c>
      <c r="G12" s="30"/>
      <c r="H12" s="146" t="n">
        <v>0.333333333333333</v>
      </c>
      <c r="I12" s="32" t="s">
        <v>9</v>
      </c>
      <c r="J12" s="32"/>
      <c r="K12" s="147" t="n">
        <v>0.333333333333333</v>
      </c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0.458333333333333</v>
      </c>
      <c r="C13" s="28"/>
      <c r="D13" s="28"/>
      <c r="E13" s="148" t="n">
        <v>0.458333333333333</v>
      </c>
      <c r="F13" s="30"/>
      <c r="G13" s="30"/>
      <c r="H13" s="149" t="n">
        <v>0.458333333333333</v>
      </c>
      <c r="I13" s="32"/>
      <c r="J13" s="32"/>
      <c r="K13" s="150" t="n">
        <v>0.458333333333333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0.125</v>
      </c>
      <c r="C14" s="42"/>
      <c r="D14" s="43"/>
      <c r="E14" s="44" t="n">
        <f aca="false">E13-E12</f>
        <v>0.125</v>
      </c>
      <c r="F14" s="45"/>
      <c r="G14" s="46"/>
      <c r="H14" s="47" t="n">
        <f aca="false">H13-H12</f>
        <v>0.125</v>
      </c>
      <c r="I14" s="48"/>
      <c r="J14" s="49"/>
      <c r="K14" s="59" t="n">
        <f aca="false">K13-K12</f>
        <v>0.125</v>
      </c>
      <c r="L14" s="59"/>
      <c r="M14" s="60"/>
    </row>
    <row r="15" customFormat="false" ht="15" hidden="false" customHeight="true" outlineLevel="0" collapsed="false">
      <c r="A15" s="26" t="s">
        <v>75</v>
      </c>
      <c r="B15" s="27" t="n">
        <v>0.708333333333333</v>
      </c>
      <c r="C15" s="28" t="s">
        <v>9</v>
      </c>
      <c r="D15" s="28"/>
      <c r="E15" s="29"/>
      <c r="F15" s="30" t="s">
        <v>9</v>
      </c>
      <c r="G15" s="30"/>
      <c r="H15" s="31" t="n">
        <v>0.75</v>
      </c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0.833333333333333</v>
      </c>
      <c r="C16" s="28"/>
      <c r="D16" s="28"/>
      <c r="E16" s="38"/>
      <c r="F16" s="30"/>
      <c r="G16" s="30"/>
      <c r="H16" s="39" t="n">
        <v>0.854166666666667</v>
      </c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0.125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0.104166666666667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s">
        <v>76</v>
      </c>
      <c r="B18" s="27"/>
      <c r="C18" s="28" t="s">
        <v>9</v>
      </c>
      <c r="D18" s="28"/>
      <c r="E18" s="29" t="n">
        <v>0.541666666666667</v>
      </c>
      <c r="F18" s="30" t="s">
        <v>9</v>
      </c>
      <c r="G18" s="30"/>
      <c r="H18" s="31" t="n">
        <v>0.666666666666667</v>
      </c>
      <c r="I18" s="32" t="s">
        <v>9</v>
      </c>
      <c r="J18" s="32"/>
      <c r="K18" s="57" t="n">
        <v>0.333333333333333</v>
      </c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 t="n">
        <v>0.6875</v>
      </c>
      <c r="F19" s="30"/>
      <c r="G19" s="30"/>
      <c r="H19" s="39" t="n">
        <v>0.75</v>
      </c>
      <c r="I19" s="32"/>
      <c r="J19" s="32"/>
      <c r="K19" s="40" t="n">
        <v>0.489583333333333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0.145833333333333</v>
      </c>
      <c r="F20" s="45"/>
      <c r="G20" s="46"/>
      <c r="H20" s="47" t="n">
        <f aca="false">H19-H18</f>
        <v>0.083333333333333</v>
      </c>
      <c r="I20" s="48"/>
      <c r="J20" s="49"/>
      <c r="K20" s="54" t="n">
        <f aca="false">K19-K18</f>
        <v>0.15625</v>
      </c>
      <c r="L20" s="55"/>
      <c r="M20" s="56"/>
    </row>
    <row r="21" customFormat="false" ht="15" hidden="false" customHeight="true" outlineLevel="0" collapsed="false">
      <c r="A21" s="26" t="n">
        <v>44845</v>
      </c>
      <c r="B21" s="27"/>
      <c r="C21" s="28" t="s">
        <v>9</v>
      </c>
      <c r="D21" s="28"/>
      <c r="E21" s="29"/>
      <c r="F21" s="30" t="s">
        <v>9</v>
      </c>
      <c r="G21" s="30"/>
      <c r="H21" s="31" t="n">
        <v>0.666666666666667</v>
      </c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 t="n">
        <v>0.75</v>
      </c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0.083333333333333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7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A27" activeCellId="0" sqref="A27"/>
    </sheetView>
  </sheetViews>
  <sheetFormatPr defaultColWidth="11.4296875" defaultRowHeight="14.25" zeroHeight="false" outlineLevelRow="0" outlineLevelCol="0"/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5" hidden="false" customHeight="false" outlineLevel="0" collapsed="false">
      <c r="A2" s="2"/>
      <c r="B2" s="12" t="s">
        <v>5</v>
      </c>
      <c r="C2" s="13" t="n">
        <f aca="false" t="array" ref="C2:C2">SUM(B3:B167*(MOD(ROW(B3:B167)-2,3)=0))</f>
        <v>0.937500000000001</v>
      </c>
      <c r="D2" s="14" t="n">
        <f aca="false">C2+Sprint_11!D2</f>
        <v>9.30902777777779</v>
      </c>
      <c r="E2" s="15" t="s">
        <v>6</v>
      </c>
      <c r="F2" s="16" t="n">
        <f aca="false" t="array" ref="F2:F2">SUM(E3:E167*(MOD(ROW(E3:E167)-2,3)=0))</f>
        <v>0.729166666666667</v>
      </c>
      <c r="G2" s="17" t="n">
        <f aca="false">F2+Sprint_11!G2</f>
        <v>3.43402777777778</v>
      </c>
      <c r="H2" s="18" t="s">
        <v>7</v>
      </c>
      <c r="I2" s="19" t="n">
        <f aca="false" t="array" ref="I2:I2">SUM(H3:H167*(MOD(ROW(H3:H167)-2,3)=0))</f>
        <v>0.90625</v>
      </c>
      <c r="J2" s="20" t="n">
        <f aca="false">I2+Sprint_11!J2</f>
        <v>8.29166666666667</v>
      </c>
      <c r="K2" s="21" t="s">
        <v>8</v>
      </c>
      <c r="L2" s="22" t="n">
        <f aca="false" t="array" ref="L2:L2">SUM(K3:K167*(MOD(ROW(K3:K167)-2,3)=0))</f>
        <v>0.593750000000001</v>
      </c>
      <c r="M2" s="23" t="n">
        <f aca="false">L2+Sprint_11!M2</f>
        <v>9.73611111111112</v>
      </c>
      <c r="N2" s="24" t="s">
        <v>2</v>
      </c>
      <c r="O2" s="25" t="n">
        <f aca="false">C2+F2+I2+L2</f>
        <v>3.16666666666667</v>
      </c>
    </row>
    <row r="3" customFormat="false" ht="15" hidden="false" customHeight="true" outlineLevel="0" collapsed="false">
      <c r="A3" s="26" t="n">
        <v>44846</v>
      </c>
      <c r="B3" s="27" t="n">
        <v>0.333333333333333</v>
      </c>
      <c r="C3" s="28" t="s">
        <v>9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30.7708333333334</v>
      </c>
    </row>
    <row r="4" customFormat="false" ht="15" hidden="false" customHeight="false" outlineLevel="0" collapsed="false">
      <c r="A4" s="26"/>
      <c r="B4" s="37" t="n">
        <v>0.489583333333333</v>
      </c>
      <c r="C4" s="28"/>
      <c r="D4" s="28"/>
      <c r="E4" s="38" t="n">
        <v>0.489583333333333</v>
      </c>
      <c r="F4" s="30"/>
      <c r="G4" s="30"/>
      <c r="H4" s="39" t="n">
        <v>0.489583333333333</v>
      </c>
      <c r="I4" s="32"/>
      <c r="J4" s="32"/>
      <c r="K4" s="40" t="n">
        <v>0.489583333333333</v>
      </c>
      <c r="L4" s="34"/>
      <c r="M4" s="34"/>
      <c r="N4" s="151"/>
      <c r="O4" s="152"/>
    </row>
    <row r="5" customFormat="false" ht="15" hidden="false" customHeight="false" outlineLevel="0" collapsed="false">
      <c r="A5" s="26"/>
      <c r="B5" s="41" t="n">
        <f aca="false">B4-B3</f>
        <v>0.15625</v>
      </c>
      <c r="C5" s="42"/>
      <c r="D5" s="43"/>
      <c r="E5" s="44" t="n">
        <f aca="false">E4-E3</f>
        <v>0.15625</v>
      </c>
      <c r="F5" s="45"/>
      <c r="G5" s="46"/>
      <c r="H5" s="47" t="n">
        <f aca="false">H4-H3</f>
        <v>0.15625</v>
      </c>
      <c r="I5" s="48"/>
      <c r="J5" s="49"/>
      <c r="K5" s="50" t="n">
        <f aca="false">K4-K3</f>
        <v>0.15625</v>
      </c>
      <c r="L5" s="51"/>
      <c r="M5" s="52"/>
      <c r="N5" s="151"/>
    </row>
    <row r="6" customFormat="false" ht="15" hidden="false" customHeight="true" outlineLevel="0" collapsed="false">
      <c r="A6" s="26" t="n">
        <v>44852</v>
      </c>
      <c r="B6" s="27" t="n">
        <v>0.53125</v>
      </c>
      <c r="C6" s="28" t="s">
        <v>45</v>
      </c>
      <c r="D6" s="28"/>
      <c r="E6" s="29" t="n">
        <v>0.53125</v>
      </c>
      <c r="F6" s="30" t="s">
        <v>9</v>
      </c>
      <c r="G6" s="30"/>
      <c r="H6" s="31" t="n">
        <v>0.53125</v>
      </c>
      <c r="I6" s="32" t="s">
        <v>9</v>
      </c>
      <c r="J6" s="32"/>
      <c r="K6" s="33" t="n">
        <v>0.53125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0.642361111111111</v>
      </c>
      <c r="C7" s="28"/>
      <c r="D7" s="28"/>
      <c r="E7" s="38" t="n">
        <v>0.642361111111111</v>
      </c>
      <c r="F7" s="30"/>
      <c r="G7" s="30"/>
      <c r="H7" s="39" t="n">
        <v>0.642361111111111</v>
      </c>
      <c r="I7" s="32"/>
      <c r="J7" s="32"/>
      <c r="K7" s="40" t="n">
        <v>0.642361111111111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0.111111111111111</v>
      </c>
      <c r="F8" s="45"/>
      <c r="G8" s="46"/>
      <c r="H8" s="47" t="n">
        <f aca="false">H7-H6</f>
        <v>0.111111111111111</v>
      </c>
      <c r="I8" s="48"/>
      <c r="J8" s="49"/>
      <c r="K8" s="50" t="n">
        <f aca="false">K7-K6</f>
        <v>0.111111111111111</v>
      </c>
      <c r="L8" s="51"/>
      <c r="M8" s="52"/>
    </row>
    <row r="9" customFormat="false" ht="14.25" hidden="false" customHeight="true" outlineLevel="0" collapsed="false">
      <c r="A9" s="26" t="n">
        <v>44853</v>
      </c>
      <c r="B9" s="27" t="n">
        <v>0.333333333333333</v>
      </c>
      <c r="C9" s="28" t="s">
        <v>45</v>
      </c>
      <c r="D9" s="28"/>
      <c r="E9" s="29" t="n">
        <v>0.333333333333333</v>
      </c>
      <c r="F9" s="30" t="s">
        <v>9</v>
      </c>
      <c r="G9" s="30"/>
      <c r="H9" s="31" t="n">
        <v>0.333333333333333</v>
      </c>
      <c r="I9" s="32" t="s">
        <v>9</v>
      </c>
      <c r="J9" s="32"/>
      <c r="K9" s="57" t="n">
        <v>0.333333333333333</v>
      </c>
      <c r="L9" s="34" t="s">
        <v>27</v>
      </c>
      <c r="M9" s="34"/>
    </row>
    <row r="10" customFormat="false" ht="14.25" hidden="false" customHeight="false" outlineLevel="0" collapsed="false">
      <c r="A10" s="26"/>
      <c r="B10" s="37" t="n">
        <v>0.451388888888889</v>
      </c>
      <c r="C10" s="28"/>
      <c r="D10" s="28"/>
      <c r="E10" s="38" t="n">
        <v>0.451388888888889</v>
      </c>
      <c r="F10" s="30"/>
      <c r="G10" s="30"/>
      <c r="H10" s="39" t="n">
        <v>0.451388888888889</v>
      </c>
      <c r="I10" s="32"/>
      <c r="J10" s="32"/>
      <c r="K10" s="40" t="n">
        <v>0.451388888888889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0.118055555555556</v>
      </c>
      <c r="C11" s="42"/>
      <c r="D11" s="43"/>
      <c r="E11" s="44" t="n">
        <f aca="false">E10-E9</f>
        <v>0.118055555555556</v>
      </c>
      <c r="F11" s="45"/>
      <c r="G11" s="46"/>
      <c r="H11" s="47" t="n">
        <f aca="false">H10-H9</f>
        <v>0.118055555555556</v>
      </c>
      <c r="I11" s="48"/>
      <c r="J11" s="49"/>
      <c r="K11" s="54" t="n">
        <f aca="false">K10-K9</f>
        <v>0.118055555555556</v>
      </c>
      <c r="L11" s="55"/>
      <c r="M11" s="56"/>
    </row>
    <row r="12" customFormat="false" ht="14.25" hidden="false" customHeight="true" outlineLevel="0" collapsed="false">
      <c r="A12" s="26" t="n">
        <v>44880</v>
      </c>
      <c r="B12" s="27" t="n">
        <v>0.53125</v>
      </c>
      <c r="C12" s="28" t="s">
        <v>77</v>
      </c>
      <c r="D12" s="28"/>
      <c r="E12" s="29" t="n">
        <v>0.53125</v>
      </c>
      <c r="F12" s="30" t="s">
        <v>9</v>
      </c>
      <c r="G12" s="30"/>
      <c r="H12" s="31" t="n">
        <v>0.53125</v>
      </c>
      <c r="I12" s="32" t="s">
        <v>9</v>
      </c>
      <c r="J12" s="32"/>
      <c r="K12" s="53"/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0.642361111111111</v>
      </c>
      <c r="C13" s="28"/>
      <c r="D13" s="28"/>
      <c r="E13" s="38" t="n">
        <v>0.642361111111111</v>
      </c>
      <c r="F13" s="30"/>
      <c r="G13" s="30"/>
      <c r="H13" s="39" t="n">
        <v>0.642361111111111</v>
      </c>
      <c r="I13" s="32"/>
      <c r="J13" s="32"/>
      <c r="K13" s="40"/>
      <c r="L13" s="34"/>
      <c r="M13" s="34"/>
    </row>
    <row r="14" customFormat="false" ht="14.25" hidden="false" customHeight="false" outlineLevel="0" collapsed="false">
      <c r="A14" s="26"/>
      <c r="B14" s="41" t="n">
        <f aca="false">B13-B12</f>
        <v>0.111111111111111</v>
      </c>
      <c r="C14" s="42"/>
      <c r="D14" s="43"/>
      <c r="E14" s="44" t="n">
        <f aca="false">E13-E12</f>
        <v>0.111111111111111</v>
      </c>
      <c r="F14" s="45"/>
      <c r="G14" s="46"/>
      <c r="H14" s="47" t="n">
        <f aca="false">H13-H12</f>
        <v>0.111111111111111</v>
      </c>
      <c r="I14" s="48"/>
      <c r="J14" s="49"/>
      <c r="K14" s="54" t="n">
        <f aca="false">K13-K12</f>
        <v>0</v>
      </c>
      <c r="L14" s="55"/>
      <c r="M14" s="56"/>
    </row>
    <row r="15" customFormat="false" ht="15" hidden="false" customHeight="true" outlineLevel="0" collapsed="false">
      <c r="A15" s="26" t="n">
        <v>44881</v>
      </c>
      <c r="B15" s="27" t="n">
        <v>0.333333333333333</v>
      </c>
      <c r="C15" s="28" t="s">
        <v>78</v>
      </c>
      <c r="D15" s="28"/>
      <c r="E15" s="29" t="n">
        <v>0.333333333333333</v>
      </c>
      <c r="F15" s="30" t="s">
        <v>9</v>
      </c>
      <c r="G15" s="30"/>
      <c r="H15" s="31" t="n">
        <v>0.333333333333333</v>
      </c>
      <c r="I15" s="32" t="s">
        <v>9</v>
      </c>
      <c r="J15" s="32"/>
      <c r="K15" s="57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0.451388888888889</v>
      </c>
      <c r="C16" s="28"/>
      <c r="D16" s="28"/>
      <c r="E16" s="38" t="n">
        <v>0.451388888888889</v>
      </c>
      <c r="F16" s="30"/>
      <c r="G16" s="30"/>
      <c r="H16" s="39" t="n">
        <v>0.451388888888889</v>
      </c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0.118055555555556</v>
      </c>
      <c r="C17" s="42"/>
      <c r="D17" s="43"/>
      <c r="E17" s="44" t="n">
        <f aca="false">E16-E15</f>
        <v>0.118055555555556</v>
      </c>
      <c r="F17" s="45"/>
      <c r="G17" s="46"/>
      <c r="H17" s="47" t="n">
        <f aca="false">H16-H15</f>
        <v>0.118055555555556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n">
        <v>44883</v>
      </c>
      <c r="B18" s="27" t="n">
        <v>0.583333333333333</v>
      </c>
      <c r="C18" s="28" t="s">
        <v>79</v>
      </c>
      <c r="D18" s="28"/>
      <c r="E18" s="29"/>
      <c r="F18" s="30" t="s">
        <v>9</v>
      </c>
      <c r="G18" s="30"/>
      <c r="H18" s="31" t="n">
        <v>0.625</v>
      </c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0.75</v>
      </c>
      <c r="C19" s="28"/>
      <c r="D19" s="28"/>
      <c r="E19" s="38"/>
      <c r="F19" s="30"/>
      <c r="G19" s="30"/>
      <c r="H19" s="39" t="n">
        <v>0.833333333333333</v>
      </c>
      <c r="I19" s="32"/>
      <c r="J19" s="32"/>
      <c r="K19" s="58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0.166666666666667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0.208333333333333</v>
      </c>
      <c r="I20" s="48"/>
      <c r="J20" s="49"/>
      <c r="K20" s="59" t="n">
        <f aca="false">K19-K18</f>
        <v>0</v>
      </c>
      <c r="L20" s="59"/>
      <c r="M20" s="60"/>
    </row>
    <row r="21" customFormat="false" ht="15" hidden="false" customHeight="true" outlineLevel="0" collapsed="false">
      <c r="A21" s="26" t="n">
        <v>44884</v>
      </c>
      <c r="B21" s="27"/>
      <c r="C21" s="28" t="s">
        <v>9</v>
      </c>
      <c r="D21" s="28"/>
      <c r="E21" s="29" t="n">
        <v>0.71875</v>
      </c>
      <c r="F21" s="30" t="s">
        <v>9</v>
      </c>
      <c r="G21" s="30"/>
      <c r="H21" s="31" t="n">
        <v>0.583333333333333</v>
      </c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 t="n">
        <v>0.833333333333333</v>
      </c>
      <c r="F22" s="30"/>
      <c r="G22" s="30"/>
      <c r="H22" s="39" t="n">
        <v>0.666666666666667</v>
      </c>
      <c r="I22" s="32"/>
      <c r="J22" s="32"/>
      <c r="K22" s="40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0.114583333333333</v>
      </c>
      <c r="F23" s="45"/>
      <c r="G23" s="46"/>
      <c r="H23" s="47" t="n">
        <f aca="false">H22-H21</f>
        <v>0.0833333333333333</v>
      </c>
      <c r="I23" s="48"/>
      <c r="J23" s="49"/>
      <c r="K23" s="54" t="n">
        <f aca="false">K22-K21</f>
        <v>0</v>
      </c>
      <c r="L23" s="55"/>
      <c r="M23" s="56"/>
    </row>
    <row r="24" customFormat="false" ht="15" hidden="false" customHeight="true" outlineLevel="0" collapsed="false">
      <c r="A24" s="26" t="n">
        <v>44863</v>
      </c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57" t="n">
        <v>0.333333333333333</v>
      </c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 t="n">
        <v>0.541666666666667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0.208333333333334</v>
      </c>
      <c r="L26" s="55"/>
      <c r="M26" s="56"/>
    </row>
    <row r="27" customFormat="false" ht="15" hidden="false" customHeight="true" outlineLevel="0" collapsed="false">
      <c r="A27" s="26" t="n">
        <v>44887</v>
      </c>
      <c r="B27" s="27" t="n">
        <v>0.333333333333333</v>
      </c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33"/>
      <c r="L27" s="34" t="s">
        <v>9</v>
      </c>
      <c r="M27" s="34"/>
    </row>
    <row r="28" customFormat="false" ht="14.25" hidden="false" customHeight="false" outlineLevel="0" collapsed="false">
      <c r="A28" s="26"/>
      <c r="B28" s="37" t="n">
        <v>0.489583333333333</v>
      </c>
      <c r="C28" s="28"/>
      <c r="D28" s="28"/>
      <c r="E28" s="38"/>
      <c r="F28" s="30"/>
      <c r="G28" s="30"/>
      <c r="H28" s="39"/>
      <c r="I28" s="32"/>
      <c r="J28" s="32"/>
      <c r="K28" s="58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0.15625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61" t="n">
        <f aca="false">K28-K27</f>
        <v>0</v>
      </c>
      <c r="L29" s="61"/>
      <c r="M29" s="62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40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54" t="n">
        <f aca="false">K31-K30</f>
        <v>0</v>
      </c>
      <c r="L32" s="55"/>
      <c r="M32" s="56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57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33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58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61" t="n">
        <f aca="false">K37-K36</f>
        <v>0</v>
      </c>
      <c r="L38" s="61"/>
      <c r="M38" s="62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40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54" t="n">
        <f aca="false">K40-K39</f>
        <v>0</v>
      </c>
      <c r="L41" s="55"/>
      <c r="M41" s="56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57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40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54" t="n">
        <f aca="false">K43-K42</f>
        <v>0</v>
      </c>
      <c r="L44" s="55"/>
      <c r="M44" s="56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9</v>
      </c>
      <c r="D60" s="28"/>
      <c r="E60" s="29"/>
      <c r="F60" s="30" t="s">
        <v>9</v>
      </c>
      <c r="G60" s="30"/>
      <c r="H60" s="31"/>
      <c r="I60" s="32" t="s">
        <v>9</v>
      </c>
      <c r="J60" s="32"/>
      <c r="K60" s="33"/>
      <c r="L60" s="34" t="s">
        <v>9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9</v>
      </c>
      <c r="D63" s="28"/>
      <c r="E63" s="29"/>
      <c r="F63" s="30" t="s">
        <v>9</v>
      </c>
      <c r="G63" s="30"/>
      <c r="H63" s="31"/>
      <c r="I63" s="32" t="s">
        <v>9</v>
      </c>
      <c r="J63" s="32"/>
      <c r="K63" s="33"/>
      <c r="L63" s="34" t="s">
        <v>9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  <row r="162" customFormat="false" ht="15" hidden="false" customHeight="true" outlineLevel="0" collapsed="false">
      <c r="A162" s="26"/>
      <c r="B162" s="27"/>
      <c r="C162" s="28" t="s">
        <v>10</v>
      </c>
      <c r="D162" s="28"/>
      <c r="E162" s="29"/>
      <c r="F162" s="30" t="s">
        <v>10</v>
      </c>
      <c r="G162" s="30"/>
      <c r="H162" s="31"/>
      <c r="I162" s="32" t="s">
        <v>10</v>
      </c>
      <c r="J162" s="32"/>
      <c r="K162" s="33"/>
      <c r="L162" s="34" t="s">
        <v>10</v>
      </c>
      <c r="M162" s="34"/>
    </row>
    <row r="163" customFormat="false" ht="14.25" hidden="false" customHeight="false" outlineLevel="0" collapsed="false">
      <c r="A163" s="26"/>
      <c r="B163" s="37"/>
      <c r="C163" s="28"/>
      <c r="D163" s="28"/>
      <c r="E163" s="38"/>
      <c r="F163" s="30"/>
      <c r="G163" s="30"/>
      <c r="H163" s="39"/>
      <c r="I163" s="32"/>
      <c r="J163" s="32"/>
      <c r="K163" s="58"/>
      <c r="L163" s="34"/>
      <c r="M163" s="34"/>
    </row>
    <row r="164" customFormat="false" ht="14.25" hidden="false" customHeight="false" outlineLevel="0" collapsed="false">
      <c r="A164" s="26"/>
      <c r="B164" s="41" t="n">
        <f aca="false">(B163-B162)</f>
        <v>0</v>
      </c>
      <c r="C164" s="42"/>
      <c r="D164" s="43"/>
      <c r="E164" s="44" t="n">
        <f aca="false">E163-E162</f>
        <v>0</v>
      </c>
      <c r="F164" s="45"/>
      <c r="G164" s="46"/>
      <c r="H164" s="47" t="n">
        <f aca="false">H163-H162</f>
        <v>0</v>
      </c>
      <c r="I164" s="48"/>
      <c r="J164" s="49"/>
      <c r="K164" s="61" t="n">
        <f aca="false">K163-K162</f>
        <v>0</v>
      </c>
      <c r="L164" s="61"/>
      <c r="M164" s="62"/>
    </row>
    <row r="165" customFormat="false" ht="15" hidden="false" customHeight="true" outlineLevel="0" collapsed="false">
      <c r="A165" s="26"/>
      <c r="B165" s="27"/>
      <c r="C165" s="28" t="s">
        <v>10</v>
      </c>
      <c r="D165" s="28"/>
      <c r="E165" s="29"/>
      <c r="F165" s="30" t="s">
        <v>10</v>
      </c>
      <c r="G165" s="30"/>
      <c r="H165" s="31"/>
      <c r="I165" s="32" t="s">
        <v>10</v>
      </c>
      <c r="J165" s="32"/>
      <c r="K165" s="33"/>
      <c r="L165" s="34" t="s">
        <v>10</v>
      </c>
      <c r="M165" s="34"/>
    </row>
    <row r="166" customFormat="false" ht="14.25" hidden="false" customHeight="false" outlineLevel="0" collapsed="false">
      <c r="A166" s="26"/>
      <c r="B166" s="37"/>
      <c r="C166" s="28"/>
      <c r="D166" s="28"/>
      <c r="E166" s="38"/>
      <c r="F166" s="30"/>
      <c r="G166" s="30"/>
      <c r="H166" s="39"/>
      <c r="I166" s="32"/>
      <c r="J166" s="32"/>
      <c r="K166" s="58"/>
      <c r="L166" s="34"/>
      <c r="M166" s="34"/>
    </row>
    <row r="167" customFormat="false" ht="14.25" hidden="false" customHeight="false" outlineLevel="0" collapsed="false">
      <c r="A167" s="26"/>
      <c r="B167" s="41" t="n">
        <f aca="false">(B166-B165)</f>
        <v>0</v>
      </c>
      <c r="C167" s="42"/>
      <c r="D167" s="43"/>
      <c r="E167" s="44" t="n">
        <f aca="false">E166-E165</f>
        <v>0</v>
      </c>
      <c r="F167" s="45"/>
      <c r="G167" s="46"/>
      <c r="H167" s="47" t="n">
        <f aca="false">H166-H165</f>
        <v>0</v>
      </c>
      <c r="I167" s="48"/>
      <c r="J167" s="49"/>
      <c r="K167" s="61" t="n">
        <f aca="false">K166-K165</f>
        <v>0</v>
      </c>
      <c r="L167" s="61"/>
      <c r="M167" s="62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65:A167"/>
    <mergeCell ref="C165:D166"/>
    <mergeCell ref="F165:G166"/>
    <mergeCell ref="I165:J166"/>
    <mergeCell ref="L165:M166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O21" activeCellId="0" sqref="O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1.16666666666667</v>
      </c>
      <c r="D2" s="14" t="n">
        <f aca="false">C2+Sprint_7!D2</f>
        <v>6.91597222222223</v>
      </c>
      <c r="E2" s="15" t="s">
        <v>6</v>
      </c>
      <c r="F2" s="16" t="n">
        <f aca="false" t="array" ref="F2:F2">SUM(E5:E161*(MOD(ROW(E5:E161)-2,3)=0))</f>
        <v>0.559027777777778</v>
      </c>
      <c r="G2" s="17" t="n">
        <f aca="false">F2+Sprint_7!G2</f>
        <v>0.684027777777778</v>
      </c>
      <c r="H2" s="18" t="s">
        <v>7</v>
      </c>
      <c r="I2" s="19" t="n">
        <f aca="false" t="array" ref="I2:I2">SUM(H5:H161*(MOD(ROW(H5:H161)-2,3)=0))</f>
        <v>0.465277777777778</v>
      </c>
      <c r="J2" s="20" t="n">
        <f aca="false">I2+Sprint_7!J2</f>
        <v>5.60972222222222</v>
      </c>
      <c r="K2" s="21" t="s">
        <v>8</v>
      </c>
      <c r="L2" s="22" t="n">
        <f aca="false" t="array" ref="L2:L2">SUM(K5:K161*(MOD(ROW(K5:K161)-2,3)=0))</f>
        <v>0.652777777777778</v>
      </c>
      <c r="M2" s="23" t="n">
        <f aca="false">L2+Sprint_7!M2</f>
        <v>7.03541666666667</v>
      </c>
      <c r="N2" s="24" t="s">
        <v>2</v>
      </c>
      <c r="O2" s="25" t="n">
        <f aca="false">C2+F2+I2+L2</f>
        <v>2.84375</v>
      </c>
    </row>
    <row r="3" customFormat="false" ht="15" hidden="false" customHeight="true" outlineLevel="0" collapsed="false">
      <c r="A3" s="153" t="n">
        <v>44887</v>
      </c>
      <c r="B3" s="27" t="n">
        <v>0.538194444444444</v>
      </c>
      <c r="C3" s="28" t="s">
        <v>80</v>
      </c>
      <c r="D3" s="28"/>
      <c r="E3" s="29" t="n">
        <v>0.53125</v>
      </c>
      <c r="F3" s="30" t="s">
        <v>9</v>
      </c>
      <c r="G3" s="30"/>
      <c r="H3" s="31" t="n">
        <v>0.53125</v>
      </c>
      <c r="I3" s="32" t="s">
        <v>9</v>
      </c>
      <c r="J3" s="32"/>
      <c r="K3" s="33" t="n">
        <v>0.53125</v>
      </c>
      <c r="L3" s="34" t="s">
        <v>9</v>
      </c>
      <c r="M3" s="34"/>
      <c r="N3" s="35" t="s">
        <v>3</v>
      </c>
      <c r="O3" s="36" t="n">
        <f aca="false">D2+G2+J2+M2</f>
        <v>20.2451388888889</v>
      </c>
    </row>
    <row r="4" customFormat="false" ht="15" hidden="false" customHeight="false" outlineLevel="0" collapsed="false">
      <c r="A4" s="153"/>
      <c r="B4" s="37" t="n">
        <v>0.642361111111111</v>
      </c>
      <c r="C4" s="28"/>
      <c r="D4" s="28"/>
      <c r="E4" s="38" t="n">
        <v>0.645833333333333</v>
      </c>
      <c r="F4" s="30"/>
      <c r="G4" s="30"/>
      <c r="H4" s="39" t="n">
        <v>0.645833333333333</v>
      </c>
      <c r="I4" s="32"/>
      <c r="J4" s="32"/>
      <c r="K4" s="40" t="n">
        <v>0.645833333333333</v>
      </c>
      <c r="L4" s="34"/>
      <c r="M4" s="34"/>
    </row>
    <row r="5" customFormat="false" ht="15" hidden="false" customHeight="false" outlineLevel="0" collapsed="false">
      <c r="A5" s="153"/>
      <c r="B5" s="41" t="n">
        <f aca="false">B4-B3</f>
        <v>0.104166666666667</v>
      </c>
      <c r="C5" s="42"/>
      <c r="D5" s="43"/>
      <c r="E5" s="44" t="n">
        <f aca="false">E4-E3</f>
        <v>0.114583333333333</v>
      </c>
      <c r="F5" s="45"/>
      <c r="G5" s="46"/>
      <c r="H5" s="47" t="n">
        <f aca="false">H4-H3</f>
        <v>0.114583333333333</v>
      </c>
      <c r="I5" s="48"/>
      <c r="J5" s="49"/>
      <c r="K5" s="50" t="n">
        <f aca="false">K4-K3</f>
        <v>0.114583333333333</v>
      </c>
      <c r="L5" s="51"/>
      <c r="M5" s="52"/>
    </row>
    <row r="6" customFormat="false" ht="15" hidden="false" customHeight="true" outlineLevel="0" collapsed="false">
      <c r="A6" s="153" t="n">
        <v>44888</v>
      </c>
      <c r="B6" s="27" t="n">
        <v>0.368055555555556</v>
      </c>
      <c r="C6" s="28" t="s">
        <v>81</v>
      </c>
      <c r="D6" s="28"/>
      <c r="E6" s="154" t="n">
        <v>0.333333333333333</v>
      </c>
      <c r="F6" s="30" t="s">
        <v>9</v>
      </c>
      <c r="G6" s="30"/>
      <c r="H6" s="31" t="n">
        <v>0.333333333333333</v>
      </c>
      <c r="I6" s="32" t="s">
        <v>9</v>
      </c>
      <c r="J6" s="32"/>
      <c r="K6" s="53" t="n">
        <v>0.368055555555556</v>
      </c>
      <c r="L6" s="34" t="s">
        <v>9</v>
      </c>
      <c r="M6" s="34"/>
    </row>
    <row r="7" customFormat="false" ht="15" hidden="false" customHeight="false" outlineLevel="0" collapsed="false">
      <c r="A7" s="153"/>
      <c r="B7" s="37" t="n">
        <v>0.451388888888889</v>
      </c>
      <c r="C7" s="28"/>
      <c r="D7" s="28"/>
      <c r="E7" s="38" t="n">
        <v>0.451388888888889</v>
      </c>
      <c r="F7" s="30"/>
      <c r="G7" s="30"/>
      <c r="H7" s="39" t="n">
        <v>0.451388888888889</v>
      </c>
      <c r="I7" s="32"/>
      <c r="J7" s="32"/>
      <c r="K7" s="40" t="n">
        <v>0.451388888888889</v>
      </c>
      <c r="L7" s="34"/>
      <c r="M7" s="34"/>
    </row>
    <row r="8" customFormat="false" ht="15" hidden="false" customHeight="false" outlineLevel="0" collapsed="false">
      <c r="A8" s="153"/>
      <c r="B8" s="41" t="n">
        <f aca="false">B7-B6</f>
        <v>0.0833333333333333</v>
      </c>
      <c r="C8" s="42"/>
      <c r="D8" s="43"/>
      <c r="E8" s="44" t="n">
        <f aca="false">E7-E6</f>
        <v>0.118055555555556</v>
      </c>
      <c r="F8" s="45"/>
      <c r="G8" s="46"/>
      <c r="H8" s="47" t="n">
        <f aca="false">H7-H6</f>
        <v>0.118055555555556</v>
      </c>
      <c r="I8" s="48"/>
      <c r="J8" s="49"/>
      <c r="K8" s="54" t="n">
        <f aca="false">K7-K6</f>
        <v>0.0833333333333333</v>
      </c>
      <c r="L8" s="55"/>
      <c r="M8" s="56"/>
    </row>
    <row r="9" customFormat="false" ht="15" hidden="false" customHeight="true" outlineLevel="0" collapsed="false">
      <c r="A9" s="153" t="n">
        <v>44894</v>
      </c>
      <c r="B9" s="27" t="n">
        <v>0.333333333333333</v>
      </c>
      <c r="C9" s="28" t="s">
        <v>82</v>
      </c>
      <c r="D9" s="28"/>
      <c r="E9" s="29" t="n">
        <v>0.53125</v>
      </c>
      <c r="F9" s="30" t="s">
        <v>9</v>
      </c>
      <c r="G9" s="30"/>
      <c r="H9" s="31" t="n">
        <v>0.53125</v>
      </c>
      <c r="I9" s="32" t="s">
        <v>9</v>
      </c>
      <c r="J9" s="32"/>
      <c r="K9" s="57" t="n">
        <v>0.493055555555556</v>
      </c>
      <c r="L9" s="34" t="s">
        <v>9</v>
      </c>
      <c r="M9" s="34"/>
    </row>
    <row r="10" customFormat="false" ht="15" hidden="false" customHeight="false" outlineLevel="0" collapsed="false">
      <c r="A10" s="153"/>
      <c r="B10" s="37" t="n">
        <v>0.625</v>
      </c>
      <c r="C10" s="28"/>
      <c r="D10" s="28"/>
      <c r="E10" s="38" t="n">
        <v>0.645833333333333</v>
      </c>
      <c r="F10" s="30"/>
      <c r="G10" s="30"/>
      <c r="H10" s="39" t="n">
        <v>0.645833333333333</v>
      </c>
      <c r="I10" s="32"/>
      <c r="J10" s="32"/>
      <c r="K10" s="40" t="n">
        <v>0.645833333333333</v>
      </c>
      <c r="L10" s="34"/>
      <c r="M10" s="34"/>
    </row>
    <row r="11" customFormat="false" ht="15" hidden="false" customHeight="false" outlineLevel="0" collapsed="false">
      <c r="A11" s="153"/>
      <c r="B11" s="41" t="n">
        <f aca="false">(B10-B9)</f>
        <v>0.291666666666667</v>
      </c>
      <c r="C11" s="42"/>
      <c r="D11" s="43"/>
      <c r="E11" s="44" t="n">
        <f aca="false">E10-E9</f>
        <v>0.114583333333333</v>
      </c>
      <c r="F11" s="45"/>
      <c r="G11" s="46"/>
      <c r="H11" s="47" t="n">
        <f aca="false">H10-H9</f>
        <v>0.114583333333333</v>
      </c>
      <c r="I11" s="48"/>
      <c r="J11" s="49"/>
      <c r="K11" s="54" t="n">
        <f aca="false">K10-K9</f>
        <v>0.152777777777778</v>
      </c>
      <c r="L11" s="55"/>
      <c r="M11" s="56"/>
    </row>
    <row r="12" customFormat="false" ht="15" hidden="false" customHeight="true" outlineLevel="0" collapsed="false">
      <c r="A12" s="153" t="n">
        <v>44895</v>
      </c>
      <c r="B12" s="27"/>
      <c r="C12" s="28" t="s">
        <v>9</v>
      </c>
      <c r="D12" s="28"/>
      <c r="E12" s="154" t="n">
        <v>0.333333333333333</v>
      </c>
      <c r="F12" s="30" t="s">
        <v>9</v>
      </c>
      <c r="G12" s="30"/>
      <c r="H12" s="31" t="n">
        <v>0.333333333333333</v>
      </c>
      <c r="I12" s="32" t="s">
        <v>9</v>
      </c>
      <c r="J12" s="32"/>
      <c r="K12" s="57" t="n">
        <v>0.333333333333333</v>
      </c>
      <c r="L12" s="34" t="s">
        <v>9</v>
      </c>
      <c r="M12" s="34"/>
    </row>
    <row r="13" customFormat="false" ht="15" hidden="false" customHeight="false" outlineLevel="0" collapsed="false">
      <c r="A13" s="153"/>
      <c r="B13" s="37"/>
      <c r="C13" s="28"/>
      <c r="D13" s="28"/>
      <c r="E13" s="38" t="n">
        <v>0.451388888888889</v>
      </c>
      <c r="F13" s="30"/>
      <c r="G13" s="30"/>
      <c r="H13" s="39" t="n">
        <v>0.451388888888889</v>
      </c>
      <c r="I13" s="32"/>
      <c r="J13" s="32"/>
      <c r="K13" s="58" t="n">
        <v>0.489583333333333</v>
      </c>
      <c r="L13" s="34"/>
      <c r="M13" s="34"/>
    </row>
    <row r="14" customFormat="false" ht="15" hidden="false" customHeight="false" outlineLevel="0" collapsed="false">
      <c r="A14" s="153"/>
      <c r="B14" s="41" t="n">
        <f aca="false">(B13-B12)</f>
        <v>0</v>
      </c>
      <c r="C14" s="42"/>
      <c r="D14" s="43"/>
      <c r="E14" s="44" t="n">
        <f aca="false">E13-E12</f>
        <v>0.118055555555556</v>
      </c>
      <c r="F14" s="45"/>
      <c r="G14" s="46"/>
      <c r="H14" s="47" t="n">
        <f aca="false">H13-H12</f>
        <v>0.118055555555556</v>
      </c>
      <c r="I14" s="48"/>
      <c r="J14" s="49"/>
      <c r="K14" s="59" t="n">
        <f aca="false">K13-K12</f>
        <v>0.15625</v>
      </c>
      <c r="L14" s="59"/>
      <c r="M14" s="60"/>
    </row>
    <row r="15" customFormat="false" ht="15" hidden="false" customHeight="true" outlineLevel="0" collapsed="false">
      <c r="A15" s="153" t="n">
        <v>44896</v>
      </c>
      <c r="B15" s="27" t="n">
        <v>0.416666666666667</v>
      </c>
      <c r="C15" s="28" t="s">
        <v>83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5" hidden="false" customHeight="false" outlineLevel="0" collapsed="false">
      <c r="A16" s="153"/>
      <c r="B16" s="37" t="n">
        <v>0.75</v>
      </c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5" hidden="false" customHeight="false" outlineLevel="0" collapsed="false">
      <c r="A17" s="153"/>
      <c r="B17" s="41" t="n">
        <f aca="false">(B16-B15)</f>
        <v>0.333333333333333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153" t="n">
        <v>44897</v>
      </c>
      <c r="B18" s="27" t="n">
        <v>0.5</v>
      </c>
      <c r="C18" s="28" t="s">
        <v>83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5" hidden="false" customHeight="false" outlineLevel="0" collapsed="false">
      <c r="A19" s="153"/>
      <c r="B19" s="37" t="n">
        <v>0.791666666666667</v>
      </c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5" hidden="false" customHeight="false" outlineLevel="0" collapsed="false">
      <c r="A20" s="153"/>
      <c r="B20" s="41" t="n">
        <f aca="false">(B19-B18)</f>
        <v>0.291666666666667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153" t="n">
        <v>44898</v>
      </c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 t="n">
        <v>0.333333333333333</v>
      </c>
      <c r="L21" s="34" t="s">
        <v>9</v>
      </c>
      <c r="M21" s="34"/>
    </row>
    <row r="22" customFormat="false" ht="15" hidden="false" customHeight="false" outlineLevel="0" collapsed="false">
      <c r="A22" s="153"/>
      <c r="B22" s="37"/>
      <c r="C22" s="28"/>
      <c r="D22" s="28"/>
      <c r="E22" s="38"/>
      <c r="F22" s="30"/>
      <c r="G22" s="30"/>
      <c r="H22" s="39"/>
      <c r="I22" s="32"/>
      <c r="J22" s="32"/>
      <c r="K22" s="58" t="n">
        <v>0.416666666666667</v>
      </c>
      <c r="L22" s="34"/>
      <c r="M22" s="34"/>
    </row>
    <row r="23" customFormat="false" ht="15" hidden="false" customHeight="false" outlineLevel="0" collapsed="false">
      <c r="A23" s="153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0.0833333333333333</v>
      </c>
      <c r="L23" s="61"/>
      <c r="M23" s="62"/>
    </row>
    <row r="24" customFormat="false" ht="15" hidden="false" customHeight="true" outlineLevel="0" collapsed="false">
      <c r="A24" s="153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5" hidden="false" customHeight="false" outlineLevel="0" collapsed="false">
      <c r="A25" s="153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5" hidden="false" customHeight="false" outlineLevel="0" collapsed="false">
      <c r="A26" s="153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153" t="n">
        <v>44899</v>
      </c>
      <c r="B27" s="27" t="n">
        <v>0.458333333333333</v>
      </c>
      <c r="C27" s="28" t="s">
        <v>84</v>
      </c>
      <c r="D27" s="28"/>
      <c r="E27" s="29" t="n">
        <v>0.645833333333333</v>
      </c>
      <c r="F27" s="30" t="s">
        <v>85</v>
      </c>
      <c r="G27" s="30"/>
      <c r="H27" s="31"/>
      <c r="I27" s="32" t="s">
        <v>9</v>
      </c>
      <c r="J27" s="32"/>
      <c r="K27" s="57" t="n">
        <v>0.458333333333333</v>
      </c>
      <c r="L27" s="34" t="s">
        <v>84</v>
      </c>
      <c r="M27" s="34"/>
    </row>
    <row r="28" customFormat="false" ht="15" hidden="false" customHeight="false" outlineLevel="0" collapsed="false">
      <c r="A28" s="153"/>
      <c r="B28" s="37" t="n">
        <v>0.520833333333333</v>
      </c>
      <c r="C28" s="28"/>
      <c r="D28" s="28"/>
      <c r="E28" s="38" t="n">
        <v>0.739583333333333</v>
      </c>
      <c r="F28" s="30"/>
      <c r="G28" s="30"/>
      <c r="H28" s="39"/>
      <c r="I28" s="32"/>
      <c r="J28" s="32"/>
      <c r="K28" s="40" t="n">
        <v>0.520833333333333</v>
      </c>
      <c r="L28" s="34"/>
      <c r="M28" s="34"/>
    </row>
    <row r="29" customFormat="false" ht="15" hidden="false" customHeight="false" outlineLevel="0" collapsed="false">
      <c r="A29" s="153"/>
      <c r="B29" s="41" t="n">
        <f aca="false">(B28-B27)</f>
        <v>0.0625000000000001</v>
      </c>
      <c r="C29" s="42"/>
      <c r="D29" s="43"/>
      <c r="E29" s="44" t="n">
        <f aca="false">E28-E27</f>
        <v>0.09375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0.0625000000000001</v>
      </c>
      <c r="L29" s="55"/>
      <c r="M29" s="56"/>
    </row>
    <row r="30" customFormat="false" ht="15" hidden="false" customHeight="true" outlineLevel="0" collapsed="false">
      <c r="A30" s="153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5" hidden="false" customHeight="false" outlineLevel="0" collapsed="false">
      <c r="A31" s="153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5" hidden="false" customHeight="false" outlineLevel="0" collapsed="false">
      <c r="A32" s="153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153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5" hidden="false" customHeight="false" outlineLevel="0" collapsed="false">
      <c r="A34" s="153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5" hidden="false" customHeight="false" outlineLevel="0" collapsed="false">
      <c r="A35" s="153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153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5" hidden="false" customHeight="false" outlineLevel="0" collapsed="false">
      <c r="A37" s="153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5" hidden="false" customHeight="false" outlineLevel="0" collapsed="false">
      <c r="A38" s="153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153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5" hidden="false" customHeight="false" outlineLevel="0" collapsed="false">
      <c r="A40" s="153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5" hidden="false" customHeight="false" outlineLevel="0" collapsed="false">
      <c r="A41" s="153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153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5" hidden="false" customHeight="false" outlineLevel="0" collapsed="false">
      <c r="A43" s="153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5" hidden="false" customHeight="false" outlineLevel="0" collapsed="false">
      <c r="A44" s="153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153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5" hidden="false" customHeight="false" outlineLevel="0" collapsed="false">
      <c r="A46" s="153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5" hidden="false" customHeight="false" outlineLevel="0" collapsed="false">
      <c r="A47" s="153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153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5" hidden="false" customHeight="false" outlineLevel="0" collapsed="false">
      <c r="A49" s="153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5" hidden="false" customHeight="false" outlineLevel="0" collapsed="false">
      <c r="A50" s="153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153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5" hidden="false" customHeight="false" outlineLevel="0" collapsed="false">
      <c r="A52" s="153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5" hidden="false" customHeight="false" outlineLevel="0" collapsed="false">
      <c r="A53" s="153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153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5" hidden="false" customHeight="false" outlineLevel="0" collapsed="false">
      <c r="A55" s="153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5" hidden="false" customHeight="false" outlineLevel="0" collapsed="false">
      <c r="A56" s="153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153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5" hidden="false" customHeight="false" outlineLevel="0" collapsed="false">
      <c r="A58" s="153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5" hidden="false" customHeight="false" outlineLevel="0" collapsed="false">
      <c r="A59" s="153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153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5" hidden="false" customHeight="false" outlineLevel="0" collapsed="false">
      <c r="A61" s="153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5" hidden="false" customHeight="false" outlineLevel="0" collapsed="false">
      <c r="A62" s="153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153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5" hidden="false" customHeight="false" outlineLevel="0" collapsed="false">
      <c r="A64" s="153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5" hidden="false" customHeight="false" outlineLevel="0" collapsed="false">
      <c r="A65" s="153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153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5" hidden="false" customHeight="false" outlineLevel="0" collapsed="false">
      <c r="A67" s="153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5" hidden="false" customHeight="false" outlineLevel="0" collapsed="false">
      <c r="A68" s="153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153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5" hidden="false" customHeight="false" outlineLevel="0" collapsed="false">
      <c r="A70" s="153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5" hidden="false" customHeight="false" outlineLevel="0" collapsed="false">
      <c r="A71" s="153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153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5" hidden="false" customHeight="false" outlineLevel="0" collapsed="false">
      <c r="A73" s="153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5" hidden="false" customHeight="false" outlineLevel="0" collapsed="false">
      <c r="A74" s="153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153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5" hidden="false" customHeight="false" outlineLevel="0" collapsed="false">
      <c r="A76" s="153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5" hidden="false" customHeight="false" outlineLevel="0" collapsed="false">
      <c r="A77" s="153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153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5" hidden="false" customHeight="false" outlineLevel="0" collapsed="false">
      <c r="A79" s="153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5" hidden="false" customHeight="false" outlineLevel="0" collapsed="false">
      <c r="A80" s="153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153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5" hidden="false" customHeight="false" outlineLevel="0" collapsed="false">
      <c r="A82" s="153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5" hidden="false" customHeight="false" outlineLevel="0" collapsed="false">
      <c r="A83" s="153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153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5" hidden="false" customHeight="false" outlineLevel="0" collapsed="false">
      <c r="A85" s="153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5" hidden="false" customHeight="false" outlineLevel="0" collapsed="false">
      <c r="A86" s="153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153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5" hidden="false" customHeight="false" outlineLevel="0" collapsed="false">
      <c r="A88" s="153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5" hidden="false" customHeight="false" outlineLevel="0" collapsed="false">
      <c r="A89" s="153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153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5" hidden="false" customHeight="false" outlineLevel="0" collapsed="false">
      <c r="A91" s="153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5" hidden="false" customHeight="false" outlineLevel="0" collapsed="false">
      <c r="A92" s="153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153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5" hidden="false" customHeight="false" outlineLevel="0" collapsed="false">
      <c r="A94" s="153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5" hidden="false" customHeight="false" outlineLevel="0" collapsed="false">
      <c r="A95" s="153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153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5" hidden="false" customHeight="false" outlineLevel="0" collapsed="false">
      <c r="A97" s="153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5" hidden="false" customHeight="false" outlineLevel="0" collapsed="false">
      <c r="A98" s="153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153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5" hidden="false" customHeight="false" outlineLevel="0" collapsed="false">
      <c r="A100" s="153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5" hidden="false" customHeight="false" outlineLevel="0" collapsed="false">
      <c r="A101" s="153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153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5" hidden="false" customHeight="false" outlineLevel="0" collapsed="false">
      <c r="A103" s="153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5" hidden="false" customHeight="false" outlineLevel="0" collapsed="false">
      <c r="A104" s="153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153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5" hidden="false" customHeight="false" outlineLevel="0" collapsed="false">
      <c r="A106" s="153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5" hidden="false" customHeight="false" outlineLevel="0" collapsed="false">
      <c r="A107" s="153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153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5" hidden="false" customHeight="false" outlineLevel="0" collapsed="false">
      <c r="A109" s="153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5" hidden="false" customHeight="false" outlineLevel="0" collapsed="false">
      <c r="A110" s="153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153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5" hidden="false" customHeight="false" outlineLevel="0" collapsed="false">
      <c r="A112" s="153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5" hidden="false" customHeight="false" outlineLevel="0" collapsed="false">
      <c r="A113" s="153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153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5" hidden="false" customHeight="false" outlineLevel="0" collapsed="false">
      <c r="A115" s="153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5" hidden="false" customHeight="false" outlineLevel="0" collapsed="false">
      <c r="A116" s="153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153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5" hidden="false" customHeight="false" outlineLevel="0" collapsed="false">
      <c r="A118" s="153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5" hidden="false" customHeight="false" outlineLevel="0" collapsed="false">
      <c r="A119" s="153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153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5" hidden="false" customHeight="false" outlineLevel="0" collapsed="false">
      <c r="A121" s="153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5" hidden="false" customHeight="false" outlineLevel="0" collapsed="false">
      <c r="A122" s="153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153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5" hidden="false" customHeight="false" outlineLevel="0" collapsed="false">
      <c r="A124" s="153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5" hidden="false" customHeight="false" outlineLevel="0" collapsed="false">
      <c r="A125" s="153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153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5" hidden="false" customHeight="false" outlineLevel="0" collapsed="false">
      <c r="A127" s="153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5" hidden="false" customHeight="false" outlineLevel="0" collapsed="false">
      <c r="A128" s="153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153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5" hidden="false" customHeight="false" outlineLevel="0" collapsed="false">
      <c r="A130" s="153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5" hidden="false" customHeight="false" outlineLevel="0" collapsed="false">
      <c r="A131" s="153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153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5" hidden="false" customHeight="false" outlineLevel="0" collapsed="false">
      <c r="A133" s="153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5" hidden="false" customHeight="false" outlineLevel="0" collapsed="false">
      <c r="A134" s="153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153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5" hidden="false" customHeight="false" outlineLevel="0" collapsed="false">
      <c r="A136" s="153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5" hidden="false" customHeight="false" outlineLevel="0" collapsed="false">
      <c r="A137" s="153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153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5" hidden="false" customHeight="false" outlineLevel="0" collapsed="false">
      <c r="A139" s="153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5" hidden="false" customHeight="false" outlineLevel="0" collapsed="false">
      <c r="A140" s="153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153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5" hidden="false" customHeight="false" outlineLevel="0" collapsed="false">
      <c r="A142" s="153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5" hidden="false" customHeight="false" outlineLevel="0" collapsed="false">
      <c r="A143" s="153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153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5" hidden="false" customHeight="false" outlineLevel="0" collapsed="false">
      <c r="A145" s="153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5" hidden="false" customHeight="false" outlineLevel="0" collapsed="false">
      <c r="A146" s="153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153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5" hidden="false" customHeight="false" outlineLevel="0" collapsed="false">
      <c r="A148" s="153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5" hidden="false" customHeight="false" outlineLevel="0" collapsed="false">
      <c r="A149" s="153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153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5" hidden="false" customHeight="false" outlineLevel="0" collapsed="false">
      <c r="A151" s="153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5" hidden="false" customHeight="false" outlineLevel="0" collapsed="false">
      <c r="A152" s="153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153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5" hidden="false" customHeight="false" outlineLevel="0" collapsed="false">
      <c r="A154" s="153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5" hidden="false" customHeight="false" outlineLevel="0" collapsed="false">
      <c r="A155" s="153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153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5" hidden="false" customHeight="false" outlineLevel="0" collapsed="false">
      <c r="A157" s="153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5" hidden="false" customHeight="false" outlineLevel="0" collapsed="false">
      <c r="A158" s="153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153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5" hidden="false" customHeight="false" outlineLevel="0" collapsed="false">
      <c r="A160" s="153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5" hidden="false" customHeight="false" outlineLevel="0" collapsed="false">
      <c r="A161" s="153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</TotalTime>
  <Application>LibreOffice/7.4.3.2$Linux_X86_64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Danijel</dc:creator>
  <dc:description/>
  <dc:language>en-US</dc:language>
  <cp:lastModifiedBy/>
  <dcterms:modified xsi:type="dcterms:W3CDTF">2022-12-06T12:44:25Z</dcterms:modified>
  <cp:revision>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